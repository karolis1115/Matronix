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rol\Desktop\Class work\Year 2\Q2\Matronix\Documents\Suppliers\"/>
    </mc:Choice>
  </mc:AlternateContent>
  <xr:revisionPtr revIDLastSave="0" documentId="13_ncr:1_{C8B35D29-8933-491D-B2BE-83C719BFD963}" xr6:coauthVersionLast="47" xr6:coauthVersionMax="47" xr10:uidLastSave="{00000000-0000-0000-0000-000000000000}"/>
  <bookViews>
    <workbookView showHorizontalScroll="0" showSheetTabs="0" xWindow="-110" yWindow="-110" windowWidth="19420" windowHeight="11020" xr2:uid="{00000000-000D-0000-FFFF-FFFF00000000}"/>
  </bookViews>
  <sheets>
    <sheet name="Orderform" sheetId="1" r:id="rId1"/>
  </sheets>
  <definedNames>
    <definedName name="BTW" localSheetId="0">Orderform!$F$51</definedName>
    <definedName name="Excl" localSheetId="0">Orderform!$H$51</definedName>
    <definedName name="_xlnm.Print_Area" localSheetId="0">Orderform!$A$1:$I$48</definedName>
    <definedName name="Text10" localSheetId="0">Orderform!$C$20</definedName>
    <definedName name="Text11" localSheetId="0">Orderform!$C$5</definedName>
    <definedName name="Text2" localSheetId="0">Orderform!$D$25</definedName>
    <definedName name="Text3" localSheetId="0">Orderform!$F$25</definedName>
    <definedName name="Text6" localSheetId="0">Orderform!$D$13</definedName>
    <definedName name="Text7" localSheetId="0">Orderform!$D$14</definedName>
    <definedName name="Text8" localSheetId="0">Orderform!$D$15</definedName>
    <definedName name="Text9" localSheetId="0">Orderform!$D$16</definedName>
    <definedName name="tuk" localSheetId="0">Orderform!#REF!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6" i="1" l="1"/>
  <c r="H25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B42" i="1"/>
  <c r="B43" i="1"/>
  <c r="B44" i="1" s="1"/>
  <c r="B45" i="1" s="1"/>
  <c r="B46" i="1" s="1"/>
  <c r="B47" i="1" s="1"/>
  <c r="B48" i="1" s="1"/>
  <c r="B49" i="1" s="1"/>
  <c r="B50" i="1" s="1"/>
  <c r="B26" i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H51" i="1" l="1"/>
  <c r="F110" i="1"/>
  <c r="D13" i="1"/>
</calcChain>
</file>

<file path=xl/sharedStrings.xml><?xml version="1.0" encoding="utf-8"?>
<sst xmlns="http://schemas.openxmlformats.org/spreadsheetml/2006/main" count="82" uniqueCount="72">
  <si>
    <t>     </t>
  </si>
  <si>
    <t>Aanvraag</t>
  </si>
  <si>
    <t xml:space="preserve">Naam/Name: </t>
  </si>
  <si>
    <t xml:space="preserve">Datum/Date:      </t>
  </si>
  <si>
    <t xml:space="preserve">Budgethouder:  </t>
  </si>
  <si>
    <t xml:space="preserve">Kostenplaats:   </t>
  </si>
  <si>
    <t xml:space="preserve">Kostensoort:  </t>
  </si>
  <si>
    <r>
      <t>Prijzen zijn exclusieve BTW</t>
    </r>
    <r>
      <rPr>
        <sz val="9"/>
        <rFont val="Lucida Sans Unicode"/>
        <family val="2"/>
      </rPr>
      <t xml:space="preserve"> / Prizes are excl. VAT</t>
    </r>
  </si>
  <si>
    <t>Artikelen/Articles/diensten/Services:</t>
  </si>
  <si>
    <t>Nr.</t>
  </si>
  <si>
    <t>Artikelnr.</t>
  </si>
  <si>
    <t>Leverancier/ Vendor:</t>
  </si>
  <si>
    <t>Totaal Excl. BTW:</t>
  </si>
  <si>
    <r>
      <t>Totaal (</t>
    </r>
    <r>
      <rPr>
        <sz val="9"/>
        <rFont val="Arial"/>
        <family val="2"/>
      </rPr>
      <t>€)</t>
    </r>
  </si>
  <si>
    <t>Bestelformulier voor LED / LED Orderform</t>
  </si>
  <si>
    <t>Kostenplaats</t>
  </si>
  <si>
    <t>Naam</t>
  </si>
  <si>
    <t>1150000 Academie  Life Science Engineering &amp; design</t>
  </si>
  <si>
    <t>1150100 Academeiraad</t>
  </si>
  <si>
    <t>1150120 PR activiteiten</t>
  </si>
  <si>
    <t>1150130 Werving Antillen Saxion</t>
  </si>
  <si>
    <t>1150150 Solarteam 10/11</t>
  </si>
  <si>
    <t>1150200 Lab. Productie Techniek</t>
  </si>
  <si>
    <t>1150210 Lab. Duurzame Energie</t>
  </si>
  <si>
    <t>1150220 Lab. Esturingstechnieken</t>
  </si>
  <si>
    <t>1150230 Lab. Natuurkunde</t>
  </si>
  <si>
    <t>1150240 Lab. Kunststoffen/hout</t>
  </si>
  <si>
    <t>1150250 Mechatronica</t>
  </si>
  <si>
    <t>1150300 Lab. Hardware</t>
  </si>
  <si>
    <t>1150310 Lab. Digitaal</t>
  </si>
  <si>
    <t>1150320 Lab. Energie ELT</t>
  </si>
  <si>
    <t>1150330 Print 20-project</t>
  </si>
  <si>
    <t>1150340 ELT Carrousel</t>
  </si>
  <si>
    <t>1150350 EESP</t>
  </si>
  <si>
    <t>1150360 ELT Meetpracticum</t>
  </si>
  <si>
    <t>1150370 ELT Laboratorium Alggemeen</t>
  </si>
  <si>
    <t>1150420 Europees Netwerk</t>
  </si>
  <si>
    <t>1150470 Int. Man. Economie &amp; Organisatie</t>
  </si>
  <si>
    <t>1150520 Lab. LS/ROC Gezamenlijk Deventer</t>
  </si>
  <si>
    <t>1150560 Lab. LS/ROC Gezamenlijk Enschede</t>
  </si>
  <si>
    <t>1150570 LS Laboratoria Alg Enschede</t>
  </si>
  <si>
    <t>1150580 LS Laboratoria Alg Deventer</t>
  </si>
  <si>
    <t>1150700 Lectoraat International Water Technology</t>
  </si>
  <si>
    <t>1150800 Masteropleiding LED</t>
  </si>
  <si>
    <t>2150000 LED Projecten algemeen</t>
  </si>
  <si>
    <t>2150700 Ambein</t>
  </si>
  <si>
    <t>2150710 PIB - IPO China</t>
  </si>
  <si>
    <t>2150715 PIB Waterworks in Roemenie</t>
  </si>
  <si>
    <t>2150720 LED Project Pacmem onderzoek</t>
  </si>
  <si>
    <t>2150721 LED Project Pacmem ontwerpen</t>
  </si>
  <si>
    <t>2150725 2 GT Oman</t>
  </si>
  <si>
    <t>2150750 Project IWT-BETA</t>
  </si>
  <si>
    <t>2150850 Project Nanotechnologie</t>
  </si>
  <si>
    <t>3150000 LED Algemeen</t>
  </si>
  <si>
    <t>3150010 LED Algemeen met BTW</t>
  </si>
  <si>
    <t>3150285 ABT 2</t>
  </si>
  <si>
    <t>3150375 ABT 1</t>
  </si>
  <si>
    <t>3150800 Master Industriele Innovatie</t>
  </si>
  <si>
    <t>3151600 AEEE Caribean 2008-2013</t>
  </si>
  <si>
    <t>Bestelweb</t>
  </si>
  <si>
    <t>Dit formulier kan worden gebruikt voor het aanvragen (per mail) voor het plaatsen van een order in Bestelweb.</t>
  </si>
  <si>
    <r>
      <t xml:space="preserve">Alle opdrachten voor levering van goederen en diensten die resulteren in een factuur aan SAXION  
dienen in Bestelweb te worden geregistreerd. </t>
    </r>
    <r>
      <rPr>
        <b/>
        <sz val="9"/>
        <rFont val="Lucida Sans Unicode"/>
        <family val="2"/>
      </rPr>
      <t>This orderform is used for requesting goods via mail</t>
    </r>
    <r>
      <rPr>
        <sz val="9"/>
        <rFont val="Lucida Sans Unicode"/>
        <family val="2"/>
      </rPr>
      <t>.</t>
    </r>
  </si>
  <si>
    <t>Saxion</t>
  </si>
  <si>
    <t>Omschrijving / Description</t>
  </si>
  <si>
    <t>Aantal/Quantity</t>
  </si>
  <si>
    <t>Prijs/stuk (€) Price/unit (€)</t>
  </si>
  <si>
    <t>Raspberry pi Stackable header 2x20</t>
  </si>
  <si>
    <t>Ali Yuksel</t>
  </si>
  <si>
    <t>Matronix</t>
  </si>
  <si>
    <t>Reichelt</t>
  </si>
  <si>
    <t>analog/digital converter ADS1115</t>
  </si>
  <si>
    <t>Parts Reichelt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</si>
</sst>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####"/>
    <numFmt numFmtId="165" formatCode="#,###.00###"/>
  </numFmts>
  <fonts count="19" x14ac:knownFonts="1">
    <font>
      <sz val="10"/>
      <name val="Arial"/>
    </font>
    <font>
      <b/>
      <sz val="16"/>
      <name val="Lucida Bright"/>
      <family val="1"/>
    </font>
    <font>
      <sz val="16"/>
      <name val="Lucida Bright"/>
      <family val="1"/>
    </font>
    <font>
      <sz val="12"/>
      <name val="Lucida Bright"/>
      <family val="1"/>
    </font>
    <font>
      <b/>
      <sz val="9"/>
      <name val="Lucida Sans Unicode"/>
      <family val="2"/>
    </font>
    <font>
      <sz val="9"/>
      <name val="Lucida Sans Unicode"/>
      <family val="2"/>
    </font>
    <font>
      <sz val="7"/>
      <color indexed="23"/>
      <name val="Lucida Sans Unicode"/>
      <family val="2"/>
    </font>
    <font>
      <sz val="8"/>
      <name val="Arial"/>
      <family val="2"/>
    </font>
    <font>
      <sz val="9"/>
      <name val="Arial"/>
      <family val="2"/>
    </font>
    <font>
      <i/>
      <sz val="16"/>
      <name val="Lucida Bright"/>
      <family val="1"/>
    </font>
    <font>
      <sz val="1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u/>
      <sz val="10"/>
      <color rgb="FF00B050"/>
      <name val="Arial"/>
      <family val="2"/>
    </font>
    <font>
      <u/>
      <sz val="10"/>
      <color rgb="FFFFC000"/>
      <name val="Arial"/>
      <family val="2"/>
    </font>
    <font>
      <sz val="9"/>
      <name val="Lucida Sans"/>
      <family val="2"/>
    </font>
    <font>
      <i/>
      <sz val="9"/>
      <name val="Arial"/>
      <family val="2"/>
    </font>
    <font>
      <i/>
      <u/>
      <sz val="10"/>
      <color rgb="FF00B050"/>
      <name val="Arial"/>
      <family val="2"/>
    </font>
    <font>
      <i/>
      <sz val="9"/>
      <name val="Lucida Sans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6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5" fillId="0" borderId="0" xfId="0" applyFont="1"/>
    <xf numFmtId="0" fontId="4" fillId="0" borderId="0" xfId="0" applyFont="1"/>
    <xf numFmtId="0" fontId="6" fillId="0" borderId="0" xfId="0" applyFont="1"/>
    <xf numFmtId="0" fontId="0" fillId="0" borderId="0" xfId="0" applyAlignment="1">
      <alignment wrapText="1"/>
    </xf>
    <xf numFmtId="0" fontId="5" fillId="0" borderId="1" xfId="0" applyFont="1" applyBorder="1" applyAlignment="1" applyProtection="1">
      <alignment vertical="top" wrapText="1"/>
      <protection locked="0"/>
    </xf>
    <xf numFmtId="165" fontId="5" fillId="0" borderId="1" xfId="0" applyNumberFormat="1" applyFont="1" applyBorder="1" applyAlignment="1" applyProtection="1">
      <alignment horizontal="right" vertical="top" shrinkToFit="1"/>
      <protection locked="0"/>
    </xf>
    <xf numFmtId="164" fontId="5" fillId="0" borderId="1" xfId="0" applyNumberFormat="1" applyFont="1" applyBorder="1" applyAlignment="1" applyProtection="1">
      <alignment horizontal="right" vertical="top" shrinkToFit="1"/>
      <protection locked="0"/>
    </xf>
    <xf numFmtId="0" fontId="5" fillId="0" borderId="2" xfId="0" applyFont="1" applyFill="1" applyBorder="1" applyAlignment="1" applyProtection="1">
      <protection locked="0"/>
    </xf>
    <xf numFmtId="14" fontId="5" fillId="0" borderId="1" xfId="0" applyNumberFormat="1" applyFont="1" applyFill="1" applyBorder="1" applyAlignment="1">
      <alignment horizontal="left"/>
    </xf>
    <xf numFmtId="0" fontId="5" fillId="0" borderId="1" xfId="0" applyFont="1" applyFill="1" applyBorder="1" applyAlignment="1" applyProtection="1">
      <alignment horizontal="left"/>
      <protection locked="0"/>
    </xf>
    <xf numFmtId="0" fontId="5" fillId="0" borderId="0" xfId="0" applyFont="1" applyAlignment="1">
      <alignment horizontal="left"/>
    </xf>
    <xf numFmtId="0" fontId="5" fillId="0" borderId="2" xfId="0" applyFont="1" applyFill="1" applyBorder="1" applyAlignment="1" applyProtection="1">
      <alignment horizontal="left"/>
      <protection locked="0"/>
    </xf>
    <xf numFmtId="0" fontId="9" fillId="0" borderId="2" xfId="0" applyFont="1" applyFill="1" applyBorder="1" applyAlignment="1" applyProtection="1">
      <alignment horizontal="left"/>
      <protection locked="0"/>
    </xf>
    <xf numFmtId="0" fontId="11" fillId="0" borderId="0" xfId="0" applyFont="1"/>
    <xf numFmtId="0" fontId="9" fillId="0" borderId="0" xfId="0" applyFont="1" applyFill="1" applyBorder="1" applyAlignment="1" applyProtection="1">
      <alignment horizontal="left"/>
      <protection locked="0"/>
    </xf>
    <xf numFmtId="14" fontId="5" fillId="0" borderId="0" xfId="0" applyNumberFormat="1" applyFont="1" applyFill="1" applyBorder="1" applyAlignment="1">
      <alignment horizontal="left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Alignment="1"/>
    <xf numFmtId="0" fontId="4" fillId="0" borderId="2" xfId="0" applyFont="1" applyBorder="1" applyProtection="1">
      <protection locked="0"/>
    </xf>
    <xf numFmtId="0" fontId="0" fillId="0" borderId="1" xfId="0" applyBorder="1"/>
    <xf numFmtId="0" fontId="5" fillId="2" borderId="3" xfId="0" applyFont="1" applyFill="1" applyBorder="1" applyAlignment="1">
      <alignment horizontal="right" vertical="center" wrapText="1"/>
    </xf>
    <xf numFmtId="0" fontId="5" fillId="2" borderId="3" xfId="0" applyFont="1" applyFill="1" applyBorder="1" applyAlignment="1">
      <alignment vertical="center" wrapText="1"/>
    </xf>
    <xf numFmtId="0" fontId="5" fillId="0" borderId="7" xfId="0" applyFont="1" applyBorder="1" applyAlignment="1">
      <alignment horizontal="right" vertical="top" wrapText="1"/>
    </xf>
    <xf numFmtId="40" fontId="5" fillId="0" borderId="8" xfId="0" applyNumberFormat="1" applyFont="1" applyBorder="1" applyAlignment="1">
      <alignment horizontal="right" vertical="top" shrinkToFit="1"/>
    </xf>
    <xf numFmtId="0" fontId="10" fillId="0" borderId="0" xfId="0" applyFont="1"/>
    <xf numFmtId="2" fontId="15" fillId="0" borderId="1" xfId="0" applyNumberFormat="1" applyFont="1" applyBorder="1"/>
    <xf numFmtId="2" fontId="5" fillId="0" borderId="1" xfId="0" applyNumberFormat="1" applyFont="1" applyBorder="1" applyAlignment="1" applyProtection="1">
      <alignment vertical="top" wrapText="1"/>
      <protection locked="0"/>
    </xf>
    <xf numFmtId="2" fontId="8" fillId="0" borderId="1" xfId="0" applyNumberFormat="1" applyFont="1" applyBorder="1"/>
    <xf numFmtId="2" fontId="5" fillId="0" borderId="2" xfId="0" applyNumberFormat="1" applyFont="1" applyBorder="1" applyAlignment="1" applyProtection="1">
      <alignment vertical="top" wrapText="1"/>
      <protection locked="0"/>
    </xf>
    <xf numFmtId="2" fontId="5" fillId="0" borderId="1" xfId="0" applyNumberFormat="1" applyFont="1" applyBorder="1" applyAlignment="1">
      <alignment vertical="top" wrapText="1"/>
    </xf>
    <xf numFmtId="2" fontId="5" fillId="0" borderId="1" xfId="0" applyNumberFormat="1" applyFont="1" applyBorder="1" applyAlignment="1">
      <alignment horizontal="right" vertical="top" wrapText="1"/>
    </xf>
    <xf numFmtId="2" fontId="5" fillId="0" borderId="4" xfId="0" applyNumberFormat="1" applyFont="1" applyBorder="1" applyAlignment="1">
      <alignment horizontal="right" vertical="top" wrapText="1"/>
    </xf>
    <xf numFmtId="2" fontId="4" fillId="0" borderId="5" xfId="0" applyNumberFormat="1" applyFont="1" applyBorder="1" applyAlignment="1">
      <alignment vertical="top" wrapText="1"/>
    </xf>
    <xf numFmtId="2" fontId="4" fillId="0" borderId="5" xfId="0" applyNumberFormat="1" applyFont="1" applyBorder="1" applyAlignment="1">
      <alignment horizontal="center" vertical="top" wrapText="1"/>
    </xf>
    <xf numFmtId="2" fontId="4" fillId="0" borderId="5" xfId="0" applyNumberFormat="1" applyFont="1" applyBorder="1" applyAlignment="1">
      <alignment horizontal="right" vertical="top"/>
    </xf>
    <xf numFmtId="2" fontId="4" fillId="0" borderId="6" xfId="0" applyNumberFormat="1" applyFont="1" applyBorder="1" applyAlignment="1">
      <alignment horizontal="right" vertical="top" shrinkToFit="1"/>
    </xf>
    <xf numFmtId="2" fontId="8" fillId="0" borderId="1" xfId="0" applyNumberFormat="1" applyFont="1" applyBorder="1" applyAlignment="1">
      <alignment horizontal="right"/>
    </xf>
    <xf numFmtId="2" fontId="8" fillId="0" borderId="2" xfId="0" applyNumberFormat="1" applyFont="1" applyBorder="1" applyAlignment="1">
      <alignment horizontal="right"/>
    </xf>
    <xf numFmtId="2" fontId="15" fillId="0" borderId="1" xfId="0" applyNumberFormat="1" applyFont="1" applyBorder="1" applyAlignment="1">
      <alignment horizontal="right"/>
    </xf>
    <xf numFmtId="2" fontId="16" fillId="0" borderId="1" xfId="0" applyNumberFormat="1" applyFont="1" applyBorder="1"/>
    <xf numFmtId="2" fontId="16" fillId="0" borderId="1" xfId="0" applyNumberFormat="1" applyFont="1" applyBorder="1" applyAlignment="1">
      <alignment horizontal="right"/>
    </xf>
    <xf numFmtId="2" fontId="18" fillId="0" borderId="1" xfId="0" applyNumberFormat="1" applyFont="1" applyBorder="1"/>
    <xf numFmtId="2" fontId="8" fillId="0" borderId="7" xfId="0" applyNumberFormat="1" applyFont="1" applyBorder="1"/>
    <xf numFmtId="2" fontId="13" fillId="0" borderId="1" xfId="1" applyNumberFormat="1" applyFont="1" applyBorder="1" applyAlignment="1">
      <alignment horizontal="left"/>
    </xf>
    <xf numFmtId="2" fontId="4" fillId="0" borderId="9" xfId="0" applyNumberFormat="1" applyFont="1" applyBorder="1" applyAlignment="1">
      <alignment horizontal="left" vertical="top" wrapText="1"/>
    </xf>
    <xf numFmtId="2" fontId="17" fillId="0" borderId="1" xfId="1" applyNumberFormat="1" applyFont="1" applyBorder="1" applyAlignment="1">
      <alignment horizontal="left"/>
    </xf>
    <xf numFmtId="0" fontId="0" fillId="0" borderId="1" xfId="0" applyBorder="1"/>
    <xf numFmtId="2" fontId="13" fillId="0" borderId="1" xfId="1" applyNumberFormat="1" applyFont="1" applyBorder="1"/>
    <xf numFmtId="2" fontId="13" fillId="0" borderId="1" xfId="1" applyNumberFormat="1" applyFont="1" applyBorder="1" applyAlignment="1">
      <alignment horizontal="left" vertical="top" wrapText="1"/>
    </xf>
    <xf numFmtId="0" fontId="5" fillId="0" borderId="0" xfId="0" applyFont="1" applyAlignment="1">
      <alignment horizontal="left" wrapText="1"/>
    </xf>
    <xf numFmtId="0" fontId="5" fillId="0" borderId="0" xfId="0" applyFont="1" applyAlignment="1">
      <alignment wrapText="1"/>
    </xf>
    <xf numFmtId="0" fontId="10" fillId="0" borderId="0" xfId="0" applyFont="1" applyAlignment="1"/>
    <xf numFmtId="0" fontId="13" fillId="0" borderId="1" xfId="1" applyFont="1" applyBorder="1" applyAlignment="1" applyProtection="1">
      <alignment horizontal="left" vertical="top" wrapText="1"/>
      <protection locked="0"/>
    </xf>
    <xf numFmtId="0" fontId="13" fillId="0" borderId="1" xfId="1" applyFont="1" applyBorder="1" applyAlignment="1">
      <alignment horizontal="left" vertical="top" wrapText="1"/>
    </xf>
    <xf numFmtId="0" fontId="5" fillId="2" borderId="3" xfId="0" applyFont="1" applyFill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4" fillId="0" borderId="1" xfId="1" applyFont="1" applyBorder="1" applyAlignment="1" applyProtection="1">
      <alignment horizontal="left" vertical="top" wrapText="1"/>
      <protection locked="0"/>
    </xf>
    <xf numFmtId="0" fontId="14" fillId="0" borderId="1" xfId="1" applyFont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2"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301683</xdr:colOff>
      <xdr:row>2</xdr:row>
      <xdr:rowOff>38100</xdr:rowOff>
    </xdr:to>
    <xdr:pic>
      <xdr:nvPicPr>
        <xdr:cNvPr id="1026" name="Picture 2" descr="Saxion_Balk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581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reichelt.nl/nl/en/raspberry-pi-analog-digital-converter-rpi-adc-p226847.html?&amp;trstct=pos_0&amp;nbc=1" TargetMode="External"/><Relationship Id="rId2" Type="http://schemas.openxmlformats.org/officeDocument/2006/relationships/hyperlink" Target="https://www.reichelt.com/nl/de/raspberry-pi-stacking-header-40-polig-rm-2-54-rpi-header-40-p223626.html?r=1" TargetMode="External"/><Relationship Id="rId1" Type="http://schemas.openxmlformats.org/officeDocument/2006/relationships/hyperlink" Target="https://www.reichelt.com/nl/de/raspberry-pi-stacking-header-40-polig-rm-2-54-rpi-header-40-p223626.html?r=1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reichelt.nl/nl/en/raspberry-pi-analog-digital-converter-rpi-adc-p226847.html?&amp;trstct=pos_0&amp;nbc=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autoPageBreaks="0"/>
  </sheetPr>
  <dimension ref="A4:I120"/>
  <sheetViews>
    <sheetView showGridLines="0" showRowColHeaders="0" tabSelected="1" showOutlineSymbols="0" topLeftCell="A19" zoomScaleNormal="100" workbookViewId="0">
      <selection activeCell="D16" sqref="D16"/>
    </sheetView>
  </sheetViews>
  <sheetFormatPr defaultRowHeight="12.5" x14ac:dyDescent="0.25"/>
  <cols>
    <col min="1" max="1" width="6" customWidth="1"/>
    <col min="2" max="2" width="3.81640625" customWidth="1"/>
    <col min="3" max="3" width="11.453125" customWidth="1"/>
    <col min="4" max="4" width="23.453125" customWidth="1"/>
    <col min="5" max="5" width="21.7265625" customWidth="1"/>
    <col min="6" max="6" width="8.1796875" customWidth="1"/>
    <col min="7" max="7" width="12.1796875" customWidth="1"/>
    <col min="8" max="8" width="10.453125" customWidth="1"/>
    <col min="9" max="9" width="3.7265625" customWidth="1"/>
  </cols>
  <sheetData>
    <row r="4" spans="2:9" ht="16.75" customHeight="1" x14ac:dyDescent="0.25"/>
    <row r="5" spans="2:9" ht="19.5" x14ac:dyDescent="0.35">
      <c r="B5" s="1" t="s">
        <v>59</v>
      </c>
      <c r="C5" s="2"/>
      <c r="D5" s="16"/>
      <c r="E5" s="18"/>
    </row>
    <row r="6" spans="2:9" ht="16.75" customHeight="1" x14ac:dyDescent="0.3">
      <c r="B6" s="3" t="s">
        <v>14</v>
      </c>
    </row>
    <row r="7" spans="2:9" ht="16.75" customHeight="1" x14ac:dyDescent="0.25">
      <c r="B7" s="4"/>
    </row>
    <row r="8" spans="2:9" ht="27.4" customHeight="1" x14ac:dyDescent="0.25">
      <c r="B8" s="53" t="s">
        <v>60</v>
      </c>
      <c r="C8" s="53"/>
      <c r="D8" s="53"/>
      <c r="E8" s="53"/>
      <c r="F8" s="53"/>
      <c r="G8" s="53"/>
      <c r="H8" s="53"/>
    </row>
    <row r="9" spans="2:9" ht="27.75" customHeight="1" x14ac:dyDescent="0.25">
      <c r="B9" s="53" t="s">
        <v>61</v>
      </c>
      <c r="C9" s="53"/>
      <c r="D9" s="53"/>
      <c r="E9" s="53"/>
      <c r="F9" s="53"/>
      <c r="G9" s="53"/>
      <c r="H9" s="53"/>
      <c r="I9" s="53"/>
    </row>
    <row r="10" spans="2:9" ht="16.75" customHeight="1" x14ac:dyDescent="0.25">
      <c r="B10" s="4"/>
    </row>
    <row r="11" spans="2:9" ht="16.75" customHeight="1" x14ac:dyDescent="0.25">
      <c r="B11" s="5" t="s">
        <v>1</v>
      </c>
    </row>
    <row r="12" spans="2:9" ht="16.75" customHeight="1" x14ac:dyDescent="0.25">
      <c r="B12" s="4" t="s">
        <v>2</v>
      </c>
      <c r="D12" s="22" t="s">
        <v>68</v>
      </c>
      <c r="E12" s="21"/>
    </row>
    <row r="13" spans="2:9" ht="16.75" customHeight="1" x14ac:dyDescent="0.25">
      <c r="B13" s="4" t="s">
        <v>3</v>
      </c>
      <c r="D13" s="12">
        <f ca="1">+TODAY()</f>
        <v>44898</v>
      </c>
      <c r="E13" s="19"/>
    </row>
    <row r="14" spans="2:9" ht="16.75" customHeight="1" x14ac:dyDescent="0.25">
      <c r="B14" s="4" t="s">
        <v>4</v>
      </c>
      <c r="D14" s="11" t="s">
        <v>67</v>
      </c>
      <c r="E14" s="19"/>
    </row>
    <row r="15" spans="2:9" ht="16.75" customHeight="1" x14ac:dyDescent="0.25">
      <c r="B15" s="4" t="s">
        <v>5</v>
      </c>
      <c r="D15" s="13">
        <v>1150375</v>
      </c>
      <c r="E15" s="20"/>
      <c r="F15" s="14"/>
    </row>
    <row r="16" spans="2:9" ht="16.75" customHeight="1" x14ac:dyDescent="0.25">
      <c r="B16" s="4" t="s">
        <v>6</v>
      </c>
      <c r="D16" s="15" t="s">
        <v>71</v>
      </c>
      <c r="E16" s="20"/>
    </row>
    <row r="17" spans="1:9" ht="16.75" customHeight="1" x14ac:dyDescent="0.25">
      <c r="B17" s="4"/>
    </row>
    <row r="18" spans="1:9" ht="16.75" customHeight="1" x14ac:dyDescent="0.25">
      <c r="B18" s="5" t="s">
        <v>7</v>
      </c>
    </row>
    <row r="19" spans="1:9" ht="16.75" customHeight="1" x14ac:dyDescent="0.25">
      <c r="B19" s="5"/>
    </row>
    <row r="20" spans="1:9" ht="25.9" customHeight="1" x14ac:dyDescent="0.3">
      <c r="A20" s="17"/>
      <c r="B20" s="54" t="s">
        <v>11</v>
      </c>
      <c r="C20" s="55"/>
      <c r="D20" s="22" t="s">
        <v>62</v>
      </c>
    </row>
    <row r="21" spans="1:9" ht="16.75" customHeight="1" x14ac:dyDescent="0.25">
      <c r="B21" s="4"/>
    </row>
    <row r="22" spans="1:9" ht="16.75" customHeight="1" x14ac:dyDescent="0.25">
      <c r="B22" s="4" t="s">
        <v>8</v>
      </c>
    </row>
    <row r="23" spans="1:9" ht="16.75" customHeight="1" thickBot="1" x14ac:dyDescent="0.3">
      <c r="B23" s="4"/>
    </row>
    <row r="24" spans="1:9" ht="30" customHeight="1" x14ac:dyDescent="0.25">
      <c r="B24" s="24" t="s">
        <v>9</v>
      </c>
      <c r="C24" s="25" t="s">
        <v>10</v>
      </c>
      <c r="D24" s="58" t="s">
        <v>63</v>
      </c>
      <c r="E24" s="59"/>
      <c r="F24" s="24" t="s">
        <v>64</v>
      </c>
      <c r="G24" s="24" t="s">
        <v>65</v>
      </c>
      <c r="H24" s="24" t="s">
        <v>13</v>
      </c>
    </row>
    <row r="25" spans="1:9" ht="16.899999999999999" customHeight="1" x14ac:dyDescent="0.25">
      <c r="B25" s="26">
        <v>1</v>
      </c>
      <c r="C25" s="8" t="s">
        <v>69</v>
      </c>
      <c r="D25" s="56" t="s">
        <v>70</v>
      </c>
      <c r="E25" s="57"/>
      <c r="F25" s="9">
        <v>2</v>
      </c>
      <c r="G25" s="10">
        <v>8.4</v>
      </c>
      <c r="H25" s="27">
        <f t="shared" ref="H25:H26" si="0">IF(F25=0,"",+F25*G25)</f>
        <v>16.8</v>
      </c>
    </row>
    <row r="26" spans="1:9" x14ac:dyDescent="0.25">
      <c r="B26" s="26">
        <f>+B25+1</f>
        <v>2</v>
      </c>
      <c r="C26" s="8" t="s">
        <v>69</v>
      </c>
      <c r="D26" s="56" t="s">
        <v>66</v>
      </c>
      <c r="E26" s="57"/>
      <c r="F26" s="9">
        <v>1</v>
      </c>
      <c r="G26" s="10">
        <v>1.35</v>
      </c>
      <c r="H26" s="27">
        <f t="shared" si="0"/>
        <v>1.35</v>
      </c>
    </row>
    <row r="27" spans="1:9" x14ac:dyDescent="0.25">
      <c r="B27" s="26">
        <f t="shared" ref="B27:B50" si="1">+B26+1</f>
        <v>3</v>
      </c>
      <c r="C27" s="8" t="s">
        <v>0</v>
      </c>
      <c r="D27" s="56"/>
      <c r="E27" s="57"/>
      <c r="F27" s="9"/>
      <c r="G27" s="10"/>
      <c r="H27" s="27" t="str">
        <f t="shared" ref="H25:H50" si="2">IF(F27=0,"",+F27*G27)</f>
        <v/>
      </c>
      <c r="I27" s="28"/>
    </row>
    <row r="28" spans="1:9" x14ac:dyDescent="0.25">
      <c r="B28" s="26">
        <f t="shared" si="1"/>
        <v>4</v>
      </c>
      <c r="C28" s="8" t="s">
        <v>0</v>
      </c>
      <c r="D28" s="56"/>
      <c r="E28" s="57"/>
      <c r="F28" s="9"/>
      <c r="G28" s="10"/>
      <c r="H28" s="27" t="str">
        <f t="shared" si="2"/>
        <v/>
      </c>
    </row>
    <row r="29" spans="1:9" x14ac:dyDescent="0.25">
      <c r="B29" s="26">
        <f>+B28+1</f>
        <v>5</v>
      </c>
      <c r="C29" s="8" t="s">
        <v>0</v>
      </c>
      <c r="D29" s="60"/>
      <c r="E29" s="61"/>
      <c r="F29" s="9"/>
      <c r="G29" s="10"/>
      <c r="H29" s="27" t="str">
        <f t="shared" si="2"/>
        <v/>
      </c>
    </row>
    <row r="30" spans="1:9" x14ac:dyDescent="0.25">
      <c r="B30" s="26">
        <f t="shared" si="1"/>
        <v>6</v>
      </c>
      <c r="C30" s="8"/>
      <c r="D30" s="56"/>
      <c r="E30" s="57"/>
      <c r="F30" s="9"/>
      <c r="G30" s="10"/>
      <c r="H30" s="27" t="str">
        <f t="shared" si="2"/>
        <v/>
      </c>
    </row>
    <row r="31" spans="1:9" x14ac:dyDescent="0.25">
      <c r="B31" s="26">
        <f t="shared" si="1"/>
        <v>7</v>
      </c>
      <c r="C31" s="8" t="s">
        <v>0</v>
      </c>
      <c r="D31" s="60"/>
      <c r="E31" s="61"/>
      <c r="F31" s="9"/>
      <c r="G31" s="10"/>
      <c r="H31" s="27" t="str">
        <f t="shared" si="2"/>
        <v/>
      </c>
    </row>
    <row r="32" spans="1:9" x14ac:dyDescent="0.25">
      <c r="B32" s="26">
        <f t="shared" si="1"/>
        <v>8</v>
      </c>
      <c r="C32" s="8" t="s">
        <v>0</v>
      </c>
      <c r="D32" s="56"/>
      <c r="E32" s="57"/>
      <c r="F32" s="9"/>
      <c r="G32" s="10"/>
      <c r="H32" s="27" t="str">
        <f t="shared" si="2"/>
        <v/>
      </c>
    </row>
    <row r="33" spans="2:8" x14ac:dyDescent="0.25">
      <c r="B33" s="26">
        <f t="shared" si="1"/>
        <v>9</v>
      </c>
      <c r="C33" s="8" t="s">
        <v>0</v>
      </c>
      <c r="D33" s="56"/>
      <c r="E33" s="57"/>
      <c r="F33" s="9"/>
      <c r="G33" s="10"/>
      <c r="H33" s="27" t="str">
        <f t="shared" si="2"/>
        <v/>
      </c>
    </row>
    <row r="34" spans="2:8" x14ac:dyDescent="0.25">
      <c r="B34" s="26">
        <f t="shared" si="1"/>
        <v>10</v>
      </c>
      <c r="C34" s="8" t="s">
        <v>0</v>
      </c>
      <c r="D34" s="56"/>
      <c r="E34" s="57"/>
      <c r="F34" s="9"/>
      <c r="G34" s="10"/>
      <c r="H34" s="27" t="str">
        <f t="shared" si="2"/>
        <v/>
      </c>
    </row>
    <row r="35" spans="2:8" x14ac:dyDescent="0.25">
      <c r="B35" s="26">
        <f t="shared" si="1"/>
        <v>11</v>
      </c>
      <c r="C35" s="8" t="s">
        <v>0</v>
      </c>
      <c r="D35" s="56"/>
      <c r="E35" s="57"/>
      <c r="F35" s="9"/>
      <c r="G35" s="10"/>
      <c r="H35" s="27" t="str">
        <f t="shared" si="2"/>
        <v/>
      </c>
    </row>
    <row r="36" spans="2:8" x14ac:dyDescent="0.25">
      <c r="B36" s="26">
        <f t="shared" si="1"/>
        <v>12</v>
      </c>
      <c r="C36" s="8" t="s">
        <v>0</v>
      </c>
      <c r="D36" s="56"/>
      <c r="E36" s="57"/>
      <c r="F36" s="9"/>
      <c r="G36" s="10"/>
      <c r="H36" s="27" t="str">
        <f t="shared" si="2"/>
        <v/>
      </c>
    </row>
    <row r="37" spans="2:8" x14ac:dyDescent="0.25">
      <c r="B37" s="26">
        <f t="shared" si="1"/>
        <v>13</v>
      </c>
      <c r="C37" s="30" t="s">
        <v>0</v>
      </c>
      <c r="D37" s="51"/>
      <c r="E37" s="51"/>
      <c r="F37" s="40"/>
      <c r="G37" s="29"/>
      <c r="H37" s="27" t="str">
        <f t="shared" si="2"/>
        <v/>
      </c>
    </row>
    <row r="38" spans="2:8" x14ac:dyDescent="0.25">
      <c r="B38" s="26">
        <f t="shared" si="1"/>
        <v>14</v>
      </c>
      <c r="C38" s="32"/>
      <c r="D38" s="51"/>
      <c r="E38" s="51"/>
      <c r="F38" s="41"/>
      <c r="G38" s="29"/>
      <c r="H38" s="27" t="str">
        <f t="shared" si="2"/>
        <v/>
      </c>
    </row>
    <row r="39" spans="2:8" x14ac:dyDescent="0.25">
      <c r="B39" s="26">
        <f t="shared" si="1"/>
        <v>15</v>
      </c>
      <c r="C39" s="33"/>
      <c r="D39" s="52"/>
      <c r="E39" s="52"/>
      <c r="F39" s="34"/>
      <c r="G39" s="29"/>
      <c r="H39" s="27" t="str">
        <f t="shared" si="2"/>
        <v/>
      </c>
    </row>
    <row r="40" spans="2:8" ht="16.75" customHeight="1" x14ac:dyDescent="0.25">
      <c r="B40" s="26">
        <f t="shared" si="1"/>
        <v>16</v>
      </c>
      <c r="C40" s="31"/>
      <c r="D40" s="47"/>
      <c r="E40" s="47"/>
      <c r="F40" s="40"/>
      <c r="G40" s="42"/>
      <c r="H40" s="27" t="str">
        <f t="shared" si="2"/>
        <v/>
      </c>
    </row>
    <row r="41" spans="2:8" ht="16.75" customHeight="1" x14ac:dyDescent="0.25">
      <c r="B41" s="26">
        <f t="shared" si="1"/>
        <v>17</v>
      </c>
      <c r="C41" s="31"/>
      <c r="D41" s="47"/>
      <c r="E41" s="47"/>
      <c r="F41" s="40"/>
      <c r="G41" s="29"/>
      <c r="H41" s="27" t="str">
        <f t="shared" si="2"/>
        <v/>
      </c>
    </row>
    <row r="42" spans="2:8" ht="16.75" customHeight="1" x14ac:dyDescent="0.25">
      <c r="B42" s="26">
        <f t="shared" si="1"/>
        <v>18</v>
      </c>
      <c r="C42" s="31"/>
      <c r="D42" s="47"/>
      <c r="E42" s="47"/>
      <c r="F42" s="40"/>
      <c r="G42" s="29"/>
      <c r="H42" s="27" t="str">
        <f t="shared" si="2"/>
        <v/>
      </c>
    </row>
    <row r="43" spans="2:8" ht="16.75" customHeight="1" x14ac:dyDescent="0.25">
      <c r="B43" s="26">
        <f t="shared" si="1"/>
        <v>19</v>
      </c>
      <c r="C43" s="31"/>
      <c r="D43" s="47"/>
      <c r="E43" s="47"/>
      <c r="F43" s="40"/>
      <c r="G43" s="29"/>
      <c r="H43" s="27" t="str">
        <f>IF(F43=0,"",+F43*G43)</f>
        <v/>
      </c>
    </row>
    <row r="44" spans="2:8" ht="16.75" customHeight="1" x14ac:dyDescent="0.25">
      <c r="B44" s="26">
        <f t="shared" si="1"/>
        <v>20</v>
      </c>
      <c r="C44" s="31"/>
      <c r="D44" s="47"/>
      <c r="E44" s="47"/>
      <c r="F44" s="40"/>
      <c r="G44" s="29"/>
      <c r="H44" s="27" t="str">
        <f t="shared" si="2"/>
        <v/>
      </c>
    </row>
    <row r="45" spans="2:8" ht="16.75" customHeight="1" x14ac:dyDescent="0.25">
      <c r="B45" s="26">
        <f t="shared" si="1"/>
        <v>21</v>
      </c>
      <c r="C45" s="31"/>
      <c r="D45" s="47"/>
      <c r="E45" s="47"/>
      <c r="F45" s="40"/>
      <c r="G45" s="29"/>
      <c r="H45" s="27" t="str">
        <f t="shared" si="2"/>
        <v/>
      </c>
    </row>
    <row r="46" spans="2:8" ht="16.75" customHeight="1" x14ac:dyDescent="0.25">
      <c r="B46" s="26">
        <f t="shared" si="1"/>
        <v>22</v>
      </c>
      <c r="C46" s="31"/>
      <c r="D46" s="47"/>
      <c r="E46" s="47"/>
      <c r="F46" s="40"/>
      <c r="G46" s="29"/>
      <c r="H46" s="27" t="str">
        <f t="shared" si="2"/>
        <v/>
      </c>
    </row>
    <row r="47" spans="2:8" ht="13" x14ac:dyDescent="0.3">
      <c r="B47" s="26">
        <f t="shared" si="1"/>
        <v>23</v>
      </c>
      <c r="C47" s="43"/>
      <c r="D47" s="49"/>
      <c r="E47" s="49"/>
      <c r="F47" s="44"/>
      <c r="G47" s="45"/>
      <c r="H47" s="27" t="str">
        <f t="shared" si="2"/>
        <v/>
      </c>
    </row>
    <row r="48" spans="2:8" ht="16.75" customHeight="1" x14ac:dyDescent="0.25">
      <c r="B48" s="26">
        <f t="shared" si="1"/>
        <v>24</v>
      </c>
      <c r="C48" s="31"/>
      <c r="D48" s="47"/>
      <c r="E48" s="47"/>
      <c r="F48" s="40"/>
      <c r="G48" s="29"/>
      <c r="H48" s="27" t="str">
        <f t="shared" si="2"/>
        <v/>
      </c>
    </row>
    <row r="49" spans="2:8" ht="16.75" customHeight="1" x14ac:dyDescent="0.25">
      <c r="B49" s="26">
        <f t="shared" si="1"/>
        <v>25</v>
      </c>
      <c r="C49" s="31"/>
      <c r="D49" s="47"/>
      <c r="E49" s="47"/>
      <c r="F49" s="40"/>
      <c r="G49" s="29"/>
      <c r="H49" s="27" t="str">
        <f t="shared" si="2"/>
        <v/>
      </c>
    </row>
    <row r="50" spans="2:8" ht="16.75" customHeight="1" x14ac:dyDescent="0.25">
      <c r="B50" s="26">
        <f t="shared" si="1"/>
        <v>26</v>
      </c>
      <c r="C50" s="46"/>
      <c r="D50" s="50"/>
      <c r="E50" s="50"/>
      <c r="F50" s="23"/>
      <c r="G50" s="23"/>
      <c r="H50" s="27" t="str">
        <f t="shared" si="2"/>
        <v/>
      </c>
    </row>
    <row r="51" spans="2:8" ht="16.75" customHeight="1" thickBot="1" x14ac:dyDescent="0.3">
      <c r="B51" s="35"/>
      <c r="C51" s="36"/>
      <c r="D51" s="48"/>
      <c r="E51" s="48"/>
      <c r="F51" s="37"/>
      <c r="G51" s="38" t="s">
        <v>12</v>
      </c>
      <c r="H51" s="39">
        <f>+SUM(H25:H50)</f>
        <v>18.150000000000002</v>
      </c>
    </row>
    <row r="52" spans="2:8" ht="16.75" customHeight="1" x14ac:dyDescent="0.25">
      <c r="B52" s="4"/>
    </row>
    <row r="53" spans="2:8" ht="16.75" customHeight="1" x14ac:dyDescent="0.25">
      <c r="B53" s="4"/>
    </row>
    <row r="54" spans="2:8" ht="16.75" customHeight="1" x14ac:dyDescent="0.25">
      <c r="D54" s="7"/>
      <c r="E54" s="7"/>
    </row>
    <row r="55" spans="2:8" ht="16.75" customHeight="1" x14ac:dyDescent="0.25">
      <c r="B55" s="6"/>
    </row>
    <row r="56" spans="2:8" ht="16.75" customHeight="1" x14ac:dyDescent="0.25"/>
    <row r="57" spans="2:8" ht="16.75" customHeight="1" x14ac:dyDescent="0.25"/>
    <row r="58" spans="2:8" ht="16.75" customHeight="1" x14ac:dyDescent="0.25"/>
    <row r="59" spans="2:8" ht="16.75" customHeight="1" x14ac:dyDescent="0.25"/>
    <row r="60" spans="2:8" ht="16.75" customHeight="1" x14ac:dyDescent="0.25"/>
    <row r="61" spans="2:8" ht="16.75" customHeight="1" x14ac:dyDescent="0.25"/>
    <row r="62" spans="2:8" ht="16.75" customHeight="1" x14ac:dyDescent="0.25"/>
    <row r="63" spans="2:8" ht="16.75" hidden="1" customHeight="1" x14ac:dyDescent="0.25"/>
    <row r="64" spans="2:8" ht="16.75" hidden="1" customHeight="1" x14ac:dyDescent="0.25"/>
    <row r="65" spans="2:3" ht="16.75" hidden="1" customHeight="1" x14ac:dyDescent="0.25"/>
    <row r="66" spans="2:3" ht="16.75" hidden="1" customHeight="1" x14ac:dyDescent="0.25"/>
    <row r="67" spans="2:3" ht="16.75" hidden="1" customHeight="1" x14ac:dyDescent="0.25">
      <c r="C67" t="s">
        <v>16</v>
      </c>
    </row>
    <row r="68" spans="2:3" ht="16.75" hidden="1" customHeight="1" x14ac:dyDescent="0.25"/>
    <row r="69" spans="2:3" ht="16.75" hidden="1" customHeight="1" x14ac:dyDescent="0.25"/>
    <row r="70" spans="2:3" ht="16.75" hidden="1" customHeight="1" x14ac:dyDescent="0.25">
      <c r="B70" t="s">
        <v>15</v>
      </c>
    </row>
    <row r="71" spans="2:3" ht="16.75" hidden="1" customHeight="1" x14ac:dyDescent="0.25">
      <c r="B71" t="s">
        <v>17</v>
      </c>
    </row>
    <row r="72" spans="2:3" ht="16.75" hidden="1" customHeight="1" x14ac:dyDescent="0.25">
      <c r="B72" t="s">
        <v>18</v>
      </c>
    </row>
    <row r="73" spans="2:3" hidden="1" x14ac:dyDescent="0.25">
      <c r="B73" t="s">
        <v>19</v>
      </c>
    </row>
    <row r="74" spans="2:3" hidden="1" x14ac:dyDescent="0.25">
      <c r="B74" t="s">
        <v>20</v>
      </c>
    </row>
    <row r="75" spans="2:3" hidden="1" x14ac:dyDescent="0.25">
      <c r="B75" t="s">
        <v>21</v>
      </c>
    </row>
    <row r="76" spans="2:3" hidden="1" x14ac:dyDescent="0.25">
      <c r="B76" t="s">
        <v>22</v>
      </c>
    </row>
    <row r="77" spans="2:3" hidden="1" x14ac:dyDescent="0.25">
      <c r="B77" t="s">
        <v>23</v>
      </c>
    </row>
    <row r="78" spans="2:3" hidden="1" x14ac:dyDescent="0.25">
      <c r="B78" t="s">
        <v>24</v>
      </c>
    </row>
    <row r="79" spans="2:3" hidden="1" x14ac:dyDescent="0.25">
      <c r="B79" t="s">
        <v>25</v>
      </c>
    </row>
    <row r="80" spans="2:3" hidden="1" x14ac:dyDescent="0.25">
      <c r="B80" t="s">
        <v>26</v>
      </c>
    </row>
    <row r="81" spans="2:2" hidden="1" x14ac:dyDescent="0.25">
      <c r="B81" t="s">
        <v>27</v>
      </c>
    </row>
    <row r="82" spans="2:2" hidden="1" x14ac:dyDescent="0.25">
      <c r="B82" t="s">
        <v>28</v>
      </c>
    </row>
    <row r="83" spans="2:2" hidden="1" x14ac:dyDescent="0.25">
      <c r="B83" t="s">
        <v>29</v>
      </c>
    </row>
    <row r="84" spans="2:2" hidden="1" x14ac:dyDescent="0.25">
      <c r="B84" t="s">
        <v>30</v>
      </c>
    </row>
    <row r="85" spans="2:2" hidden="1" x14ac:dyDescent="0.25">
      <c r="B85" t="s">
        <v>31</v>
      </c>
    </row>
    <row r="86" spans="2:2" hidden="1" x14ac:dyDescent="0.25">
      <c r="B86" t="s">
        <v>32</v>
      </c>
    </row>
    <row r="87" spans="2:2" hidden="1" x14ac:dyDescent="0.25">
      <c r="B87" t="s">
        <v>33</v>
      </c>
    </row>
    <row r="88" spans="2:2" hidden="1" x14ac:dyDescent="0.25">
      <c r="B88" t="s">
        <v>34</v>
      </c>
    </row>
    <row r="89" spans="2:2" hidden="1" x14ac:dyDescent="0.25">
      <c r="B89" t="s">
        <v>35</v>
      </c>
    </row>
    <row r="90" spans="2:2" hidden="1" x14ac:dyDescent="0.25">
      <c r="B90" t="s">
        <v>36</v>
      </c>
    </row>
    <row r="91" spans="2:2" hidden="1" x14ac:dyDescent="0.25">
      <c r="B91" t="s">
        <v>37</v>
      </c>
    </row>
    <row r="92" spans="2:2" hidden="1" x14ac:dyDescent="0.25">
      <c r="B92" t="s">
        <v>38</v>
      </c>
    </row>
    <row r="93" spans="2:2" hidden="1" x14ac:dyDescent="0.25">
      <c r="B93" t="s">
        <v>39</v>
      </c>
    </row>
    <row r="94" spans="2:2" hidden="1" x14ac:dyDescent="0.25">
      <c r="B94" t="s">
        <v>40</v>
      </c>
    </row>
    <row r="95" spans="2:2" hidden="1" x14ac:dyDescent="0.25">
      <c r="B95" t="s">
        <v>41</v>
      </c>
    </row>
    <row r="96" spans="2:2" hidden="1" x14ac:dyDescent="0.25">
      <c r="B96" t="s">
        <v>42</v>
      </c>
    </row>
    <row r="97" spans="2:6" hidden="1" x14ac:dyDescent="0.25">
      <c r="B97" t="s">
        <v>43</v>
      </c>
    </row>
    <row r="98" spans="2:6" hidden="1" x14ac:dyDescent="0.25">
      <c r="B98" t="s">
        <v>44</v>
      </c>
    </row>
    <row r="99" spans="2:6" hidden="1" x14ac:dyDescent="0.25">
      <c r="B99" t="s">
        <v>45</v>
      </c>
    </row>
    <row r="100" spans="2:6" hidden="1" x14ac:dyDescent="0.25">
      <c r="B100" t="s">
        <v>46</v>
      </c>
    </row>
    <row r="101" spans="2:6" hidden="1" x14ac:dyDescent="0.25">
      <c r="B101" t="s">
        <v>47</v>
      </c>
    </row>
    <row r="102" spans="2:6" hidden="1" x14ac:dyDescent="0.25">
      <c r="B102" t="s">
        <v>48</v>
      </c>
    </row>
    <row r="103" spans="2:6" hidden="1" x14ac:dyDescent="0.25">
      <c r="B103" t="s">
        <v>49</v>
      </c>
    </row>
    <row r="104" spans="2:6" hidden="1" x14ac:dyDescent="0.25">
      <c r="B104" t="s">
        <v>50</v>
      </c>
    </row>
    <row r="105" spans="2:6" hidden="1" x14ac:dyDescent="0.25">
      <c r="B105" t="s">
        <v>51</v>
      </c>
    </row>
    <row r="106" spans="2:6" hidden="1" x14ac:dyDescent="0.25">
      <c r="B106" t="s">
        <v>52</v>
      </c>
    </row>
    <row r="107" spans="2:6" hidden="1" x14ac:dyDescent="0.25">
      <c r="B107" t="s">
        <v>53</v>
      </c>
    </row>
    <row r="108" spans="2:6" hidden="1" x14ac:dyDescent="0.25">
      <c r="B108" t="s">
        <v>54</v>
      </c>
    </row>
    <row r="109" spans="2:6" hidden="1" x14ac:dyDescent="0.25">
      <c r="B109" t="s">
        <v>55</v>
      </c>
    </row>
    <row r="110" spans="2:6" hidden="1" x14ac:dyDescent="0.25">
      <c r="B110" t="s">
        <v>56</v>
      </c>
      <c r="F110" t="str">
        <f>+B113&amp;" "&amp;C110</f>
        <v xml:space="preserve"> </v>
      </c>
    </row>
    <row r="111" spans="2:6" hidden="1" x14ac:dyDescent="0.25">
      <c r="B111" t="s">
        <v>57</v>
      </c>
    </row>
    <row r="112" spans="2:6" hidden="1" x14ac:dyDescent="0.25">
      <c r="B112" t="s">
        <v>58</v>
      </c>
    </row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</sheetData>
  <sheetProtection sort="0"/>
  <mergeCells count="31">
    <mergeCell ref="D27:E27"/>
    <mergeCell ref="D28:E28"/>
    <mergeCell ref="D29:E29"/>
    <mergeCell ref="D30:E30"/>
    <mergeCell ref="D36:E36"/>
    <mergeCell ref="D32:E32"/>
    <mergeCell ref="D33:E33"/>
    <mergeCell ref="D31:E31"/>
    <mergeCell ref="D34:E34"/>
    <mergeCell ref="D35:E35"/>
    <mergeCell ref="B8:H8"/>
    <mergeCell ref="B9:I9"/>
    <mergeCell ref="B20:C20"/>
    <mergeCell ref="D25:E25"/>
    <mergeCell ref="D26:E26"/>
    <mergeCell ref="D24:E24"/>
    <mergeCell ref="D37:E37"/>
    <mergeCell ref="D38:E38"/>
    <mergeCell ref="D39:E39"/>
    <mergeCell ref="D40:E40"/>
    <mergeCell ref="D41:E41"/>
    <mergeCell ref="D42:E42"/>
    <mergeCell ref="D51:E51"/>
    <mergeCell ref="D43:E43"/>
    <mergeCell ref="D44:E44"/>
    <mergeCell ref="D45:E45"/>
    <mergeCell ref="D46:E46"/>
    <mergeCell ref="D47:E47"/>
    <mergeCell ref="D48:E48"/>
    <mergeCell ref="D49:E49"/>
    <mergeCell ref="D50:E50"/>
  </mergeCells>
  <phoneticPr fontId="7" type="noConversion"/>
  <conditionalFormatting sqref="B11:B16">
    <cfRule type="cellIs" dxfId="1" priority="1" stopIfTrue="1" operator="notEqual">
      <formula>0</formula>
    </cfRule>
  </conditionalFormatting>
  <conditionalFormatting sqref="F15">
    <cfRule type="cellIs" dxfId="0" priority="2" stopIfTrue="1" operator="equal">
      <formula>"ISN/B"</formula>
    </cfRule>
  </conditionalFormatting>
  <dataValidations xWindow="471" yWindow="607" count="5">
    <dataValidation type="list" errorStyle="warning" allowBlank="1" showInputMessage="1" showErrorMessage="1" errorTitle="Kostenplaats is niet bekend" error="De door u ingevulde kostenplaats is niet bekend. wilt u deze toch gebruiken?" sqref="D15:E15" xr:uid="{00000000-0002-0000-0000-000003000000}">
      <formula1>$B$71:$B$112</formula1>
    </dataValidation>
    <dataValidation type="list" errorStyle="information" allowBlank="1" showInputMessage="1" sqref="D14" xr:uid="{A9EF3B6A-43DB-4789-9AD4-CBAC995A1757}">
      <formula1>"Ali Yuksel,Frank Hesselink,Marcello Milanzo"</formula1>
    </dataValidation>
    <dataValidation type="list" errorStyle="information" showInputMessage="1" prompt="Type de groepsnaam en project in" sqref="D12" xr:uid="{C71A22DB-A2B1-4944-B954-ADA295225366}">
      <formula1>"Frank Hesselink,Ali Yuksel"</formula1>
    </dataValidation>
    <dataValidation type="list" allowBlank="1" showInputMessage="1" showErrorMessage="1" prompt="Groepsnaam en Project" sqref="E12" xr:uid="{C3C7E339-0F8F-4EFC-86F4-10799DA59D4D}">
      <formula1>"Frank Hesselink,Ali Yuksel"</formula1>
    </dataValidation>
    <dataValidation type="list" errorStyle="information" showInputMessage="1" prompt="Selecteer een van de vaste leveranciers, of vul een alternatieve leverancier in." sqref="D20" xr:uid="{62E4FBC4-B124-47CA-AECE-36DDC3522CDA}">
      <formula1>"Saxion,Wurth electronik,Conrad,Farnell,RS-Oline,Antratek,Intronics,Technischeunie,Dwengo.org,Digikey,Mouser,Reichelt,kiwi-electronics,Vanallesenmeer,Tinytronics,Tessatronic,Althensensors,Misumi,Kuilnicos,Maxonmotor,"</formula1>
    </dataValidation>
  </dataValidations>
  <hyperlinks>
    <hyperlink ref="D26" r:id="rId1" display="https://www.reichelt.com/nl/de/raspberry-pi-stacking-header-40-polig-rm-2-54-rpi-header-40-p223626.html?r=1" xr:uid="{6934B6B9-380B-40FC-9603-53FC335B2382}"/>
    <hyperlink ref="D26:E26" r:id="rId2" display="Raspberry pi Stackable header 2x20" xr:uid="{A55C8CD8-9480-4D2E-A762-9FC5874D2964}"/>
    <hyperlink ref="D25" r:id="rId3" display="https://www.reichelt.nl/nl/en/raspberry-pi-analog-digital-converter-rpi-adc-p226847.html?&amp;trstct=pos_0&amp;nbc=1" xr:uid="{140E9F15-DB24-44CE-9A49-55143D0842FF}"/>
    <hyperlink ref="D25:E25" r:id="rId4" display="analog/digital converter ADS1115" xr:uid="{E0C3B110-F910-42E1-ADEB-2587E174F306}"/>
  </hyperlinks>
  <pageMargins left="0" right="0" top="0.51181102362204722" bottom="7.874015748031496E-2" header="0.51181102362204722" footer="7.874015748031496E-2"/>
  <pageSetup paperSize="9" orientation="portrait" r:id="rId5"/>
  <headerFooter alignWithMargins="0">
    <oddFooter>&amp;L&amp;"Lucida Sans Unicode,Standaard"&amp;6JHE18 - 20110621&amp;R&amp;"Lucida Sans Unicode,Standaard"&amp;7&amp;P/&amp;N</oddFooter>
  </headerFooter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Orderform</vt:lpstr>
      <vt:lpstr>Orderform!BTW</vt:lpstr>
      <vt:lpstr>Orderform!Excl</vt:lpstr>
      <vt:lpstr>Orderform!Print_Area</vt:lpstr>
      <vt:lpstr>Orderform!Text10</vt:lpstr>
      <vt:lpstr>Orderform!Text11</vt:lpstr>
      <vt:lpstr>Orderform!Text2</vt:lpstr>
      <vt:lpstr>Orderform!Text3</vt:lpstr>
      <vt:lpstr>Orderform!Text6</vt:lpstr>
      <vt:lpstr>Orderform!Text7</vt:lpstr>
      <vt:lpstr>Orderform!Text8</vt:lpstr>
      <vt:lpstr>Orderform!Text9</vt:lpstr>
    </vt:vector>
  </TitlesOfParts>
  <Company>Saxion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jhe18</dc:creator>
  <cp:lastModifiedBy>Karolis Juozapaitis</cp:lastModifiedBy>
  <cp:lastPrinted>2013-02-25T13:39:38Z</cp:lastPrinted>
  <dcterms:created xsi:type="dcterms:W3CDTF">2011-04-12T07:50:09Z</dcterms:created>
  <dcterms:modified xsi:type="dcterms:W3CDTF">2022-12-02T23:09:06Z</dcterms:modified>
</cp:coreProperties>
</file>