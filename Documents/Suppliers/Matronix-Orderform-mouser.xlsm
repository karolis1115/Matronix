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Class work\Year 2\Q2\Matronix\Documents\Suppliers\"/>
    </mc:Choice>
  </mc:AlternateContent>
  <xr:revisionPtr revIDLastSave="0" documentId="13_ncr:1_{767B0AF8-C162-444D-A67A-71EF4A501E99}" xr6:coauthVersionLast="47" xr6:coauthVersionMax="47" xr10:uidLastSave="{00000000-0000-0000-0000-000000000000}"/>
  <bookViews>
    <workbookView showHorizontalScroll="0" showSheetTabs="0" xWindow="6350" yWindow="30" windowWidth="10890" windowHeight="10770" xr2:uid="{00000000-000D-0000-FFFF-FFFF00000000}"/>
  </bookViews>
  <sheets>
    <sheet name="Orderform" sheetId="1" r:id="rId1"/>
  </sheets>
  <definedNames>
    <definedName name="BTW" localSheetId="0">Orderform!$F$46</definedName>
    <definedName name="Excl" localSheetId="0">Orderform!$H$46</definedName>
    <definedName name="_xlnm.Print_Area" localSheetId="0">Orderform!$A$1:$I$45</definedName>
    <definedName name="Text10" localSheetId="0">Orderform!$C$20</definedName>
    <definedName name="Text11" localSheetId="0">Orderform!$C$5</definedName>
    <definedName name="Text2" localSheetId="0">Orderform!#REF!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8" i="1" l="1"/>
  <c r="H39" i="1"/>
  <c r="H40" i="1"/>
  <c r="H41" i="1"/>
  <c r="H42" i="1"/>
  <c r="H43" i="1"/>
  <c r="H44" i="1"/>
  <c r="H45" i="1"/>
  <c r="H36" i="1" l="1"/>
  <c r="H35" i="1"/>
  <c r="H34" i="1"/>
  <c r="H33" i="1"/>
  <c r="H32" i="1"/>
  <c r="H31" i="1"/>
  <c r="H30" i="1"/>
  <c r="H29" i="1"/>
  <c r="H28" i="1"/>
  <c r="H27" i="1"/>
  <c r="H26" i="1"/>
  <c r="H25" i="1"/>
  <c r="H37" i="1" l="1"/>
  <c r="F108" i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D13" i="1"/>
  <c r="B38" i="1" l="1"/>
  <c r="B39" i="1" s="1"/>
  <c r="B40" i="1" s="1"/>
  <c r="B41" i="1" s="1"/>
  <c r="B42" i="1" s="1"/>
  <c r="B43" i="1" s="1"/>
  <c r="B44" i="1" s="1"/>
  <c r="B45" i="1" s="1"/>
  <c r="H46" i="1"/>
</calcChain>
</file>

<file path=xl/sharedStrings.xml><?xml version="1.0" encoding="utf-8"?>
<sst xmlns="http://schemas.openxmlformats.org/spreadsheetml/2006/main" count="85" uniqueCount="85">
  <si>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</si>
  <si>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</si>
  <si>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</si>
  <si>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</si>
  <si>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</si>
  <si>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</si>
  <si>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</si>
  <si>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</si>
  <si>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</si>
  <si>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</si>
  <si>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</si>
  <si>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</si>
  <si>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</si>
  <si>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</si>
  <si>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</si>
  <si>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</si>
  <si>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</si>
  <si>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</si>
  <si>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</si>
  <si>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</si>
  <si>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</si>
  <si>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</si>
  <si>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</si>
  <si>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</si>
  <si>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</si>
  <si>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</si>
  <si>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</si>
  <si>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</si>
  <si>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</si>
  <si>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</si>
  <si>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</si>
  <si>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</si>
  <si>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</si>
  <si>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</si>
  <si>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</si>
  <si>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</si>
  <si>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</si>
  <si>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</si>
  <si>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</si>
  <si>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</si>
  <si>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</si>
  <si>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</si>
  <si>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</si>
  <si>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</si>
  <si>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</si>
  <si>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</si>
  <si>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</si>
  <si>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</si>
  <si>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</si>
  <si>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</si>
  <si>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</si>
  <si>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</si>
  <si>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</si>
  <si>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</si>
  <si>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</si>
  <si>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</si>
  <si>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</si>
  <si>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</si>
  <si>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</si>
  <si>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</si>
  <si>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</si>
  <si>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Saxion</t>
  </si>
  <si>
    <t>Omschrijving / Description</t>
  </si>
  <si>
    <t>Aantal/Quantity</t>
  </si>
  <si>
    <t>Prijs/stuk (€) Price/unit (€)</t>
  </si>
  <si>
    <t>Cilindrische accuklemmen, -clips, -houders en -veren SMT Polarized Holder Dual 18650 Batterie</t>
  </si>
  <si>
    <t>Batterijbeheer I2C 2 cell 2A Boost battery charger for USB input and integrated cell balancing 24-VQFN -40 to 85</t>
  </si>
  <si>
    <t>MP8771GQ-P Buck Converted IC</t>
  </si>
  <si>
    <t>USB Connectors WR-COM USB3.1 Type C SuperSpeed+ Rcpt</t>
  </si>
  <si>
    <t>15A TRENCH SCHOTTKY BARRIER RECTIFIER</t>
  </si>
  <si>
    <t>TE Connectivity 1747785-1 Male Battery connector</t>
  </si>
  <si>
    <t>1747786-1 Baterry connector Female</t>
  </si>
  <si>
    <t>Power Inductors - SMD WE-HCI 1.2uH 12A</t>
  </si>
  <si>
    <t>Power Inductors - SMD 10uH</t>
  </si>
  <si>
    <t>MOSFET P-Ch -30V</t>
  </si>
  <si>
    <t xml:space="preserve">Bipolar Transistors </t>
  </si>
  <si>
    <t>NTC (Negative Temperature Coefficient) Thermistors 10kohm 1%</t>
  </si>
  <si>
    <t>Op-amp</t>
  </si>
  <si>
    <t>Current Sense Resistor 10mOhms</t>
  </si>
  <si>
    <t>Current sense IC</t>
  </si>
  <si>
    <t>USB-C trigger module</t>
  </si>
  <si>
    <t>Parts Mouser</t>
  </si>
  <si>
    <t>Ali Yuksel</t>
  </si>
  <si>
    <t>Matronix</t>
  </si>
  <si>
    <t>Resistor Networks &amp; Arrays 100kOHM Precision-Matched Resistor-Divider in SOT23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</si>
</sst>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6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rgb="FF00B050"/>
      <name val="Arial"/>
      <family val="2"/>
    </font>
    <font>
      <sz val="9"/>
      <name val="Lucida Sans"/>
      <family val="2"/>
    </font>
    <font>
      <u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/>
    <xf numFmtId="0" fontId="5" fillId="0" borderId="2" xfId="0" applyFont="1" applyBorder="1" applyAlignment="1">
      <alignment horizontal="right"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vertical="top"/>
    </xf>
    <xf numFmtId="0" fontId="0" fillId="0" borderId="0" xfId="0" applyAlignment="1">
      <alignment wrapText="1"/>
    </xf>
    <xf numFmtId="0" fontId="5" fillId="0" borderId="3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center" vertical="top" wrapText="1"/>
    </xf>
    <xf numFmtId="40" fontId="5" fillId="0" borderId="2" xfId="0" applyNumberFormat="1" applyFont="1" applyBorder="1" applyAlignment="1">
      <alignment horizontal="right" vertical="top" shrinkToFit="1"/>
    </xf>
    <xf numFmtId="40" fontId="4" fillId="0" borderId="1" xfId="0" applyNumberFormat="1" applyFont="1" applyBorder="1" applyAlignment="1">
      <alignment horizontal="right" vertical="top" shrinkToFit="1"/>
    </xf>
    <xf numFmtId="0" fontId="5" fillId="2" borderId="4" xfId="0" applyFont="1" applyFill="1" applyBorder="1" applyAlignment="1">
      <alignment horizontal="right" vertical="center" wrapText="1"/>
    </xf>
    <xf numFmtId="0" fontId="5" fillId="2" borderId="4" xfId="0" applyFont="1" applyFill="1" applyBorder="1" applyAlignment="1">
      <alignment vertical="center" wrapText="1"/>
    </xf>
    <xf numFmtId="0" fontId="5" fillId="0" borderId="2" xfId="0" applyFont="1" applyBorder="1" applyAlignment="1" applyProtection="1">
      <alignment vertical="top" wrapText="1"/>
      <protection locked="0"/>
    </xf>
    <xf numFmtId="165" fontId="5" fillId="0" borderId="2" xfId="0" applyNumberFormat="1" applyFont="1" applyBorder="1" applyAlignment="1" applyProtection="1">
      <alignment horizontal="right" vertical="top" shrinkToFit="1"/>
      <protection locked="0"/>
    </xf>
    <xf numFmtId="164" fontId="5" fillId="0" borderId="2" xfId="0" applyNumberFormat="1" applyFont="1" applyBorder="1" applyAlignment="1" applyProtection="1">
      <alignment horizontal="right" vertical="top" shrinkToFit="1"/>
      <protection locked="0"/>
    </xf>
    <xf numFmtId="0" fontId="5" fillId="0" borderId="5" xfId="0" applyFont="1" applyFill="1" applyBorder="1" applyAlignment="1" applyProtection="1">
      <protection locked="0"/>
    </xf>
    <xf numFmtId="14" fontId="5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5" xfId="0" applyFont="1" applyFill="1" applyBorder="1" applyAlignment="1" applyProtection="1">
      <alignment horizontal="left"/>
      <protection locked="0"/>
    </xf>
    <xf numFmtId="0" fontId="9" fillId="0" borderId="5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5" xfId="0" applyFont="1" applyBorder="1" applyProtection="1">
      <protection locked="0"/>
    </xf>
    <xf numFmtId="40" fontId="5" fillId="0" borderId="6" xfId="0" applyNumberFormat="1" applyFont="1" applyBorder="1" applyAlignment="1">
      <alignment horizontal="right" vertical="top" shrinkToFit="1"/>
    </xf>
    <xf numFmtId="2" fontId="8" fillId="0" borderId="2" xfId="0" applyNumberFormat="1" applyFont="1" applyBorder="1" applyAlignment="1">
      <alignment horizontal="right"/>
    </xf>
    <xf numFmtId="2" fontId="14" fillId="0" borderId="2" xfId="0" applyNumberFormat="1" applyFont="1" applyBorder="1"/>
    <xf numFmtId="2" fontId="8" fillId="0" borderId="5" xfId="0" applyNumberFormat="1" applyFont="1" applyBorder="1" applyAlignment="1">
      <alignment horizontal="right"/>
    </xf>
    <xf numFmtId="2" fontId="5" fillId="0" borderId="2" xfId="0" applyNumberFormat="1" applyFont="1" applyBorder="1" applyAlignment="1">
      <alignment horizontal="right" vertical="top" wrapText="1"/>
    </xf>
    <xf numFmtId="2" fontId="14" fillId="0" borderId="2" xfId="0" applyNumberFormat="1" applyFont="1" applyBorder="1" applyAlignment="1">
      <alignment horizontal="right"/>
    </xf>
    <xf numFmtId="2" fontId="14" fillId="0" borderId="0" xfId="0" applyNumberFormat="1" applyFont="1" applyFill="1" applyBorder="1"/>
    <xf numFmtId="164" fontId="5" fillId="0" borderId="7" xfId="0" applyNumberFormat="1" applyFont="1" applyBorder="1" applyAlignment="1" applyProtection="1">
      <alignment horizontal="right" vertical="top" shrinkToFit="1"/>
      <protection locked="0"/>
    </xf>
    <xf numFmtId="2" fontId="5" fillId="0" borderId="7" xfId="0" applyNumberFormat="1" applyFont="1" applyBorder="1"/>
    <xf numFmtId="0" fontId="5" fillId="0" borderId="7" xfId="0" applyFont="1" applyBorder="1" applyAlignment="1">
      <alignment horizontal="right" vertical="top" wrapText="1"/>
    </xf>
    <xf numFmtId="0" fontId="0" fillId="0" borderId="2" xfId="0" applyBorder="1"/>
    <xf numFmtId="0" fontId="4" fillId="0" borderId="8" xfId="0" applyFont="1" applyBorder="1" applyAlignment="1">
      <alignment vertical="top" wrapText="1"/>
    </xf>
    <xf numFmtId="2" fontId="5" fillId="0" borderId="7" xfId="0" applyNumberFormat="1" applyFont="1" applyBorder="1" applyAlignment="1">
      <alignment horizontal="right" vertical="top" wrapText="1"/>
    </xf>
    <xf numFmtId="0" fontId="13" fillId="0" borderId="2" xfId="1" applyFont="1" applyBorder="1"/>
    <xf numFmtId="0" fontId="13" fillId="0" borderId="7" xfId="1" applyFont="1" applyBorder="1" applyAlignment="1">
      <alignment horizontal="left" vertical="top" wrapText="1"/>
    </xf>
    <xf numFmtId="0" fontId="0" fillId="0" borderId="2" xfId="0" applyBorder="1"/>
    <xf numFmtId="0" fontId="4" fillId="0" borderId="8" xfId="0" applyFont="1" applyBorder="1" applyAlignment="1">
      <alignment horizontal="right" vertical="top" wrapText="1"/>
    </xf>
    <xf numFmtId="2" fontId="13" fillId="0" borderId="2" xfId="1" applyNumberFormat="1" applyFont="1" applyBorder="1"/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12" fillId="0" borderId="2" xfId="1" applyBorder="1" applyAlignment="1" applyProtection="1">
      <alignment horizontal="left" vertical="top" wrapText="1"/>
      <protection locked="0"/>
    </xf>
    <xf numFmtId="0" fontId="5" fillId="2" borderId="4" xfId="0" applyFont="1" applyFill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2" fillId="0" borderId="3" xfId="1" applyBorder="1" applyAlignment="1" applyProtection="1">
      <alignment horizontal="left" vertical="top" wrapText="1"/>
      <protection locked="0"/>
    </xf>
    <xf numFmtId="0" fontId="13" fillId="0" borderId="2" xfId="1" applyFont="1" applyBorder="1" applyAlignment="1" applyProtection="1">
      <alignment horizontal="left" vertical="top" wrapText="1"/>
      <protection locked="0"/>
    </xf>
    <xf numFmtId="0" fontId="15" fillId="0" borderId="2" xfId="1" applyFont="1" applyBorder="1" applyAlignment="1" applyProtection="1">
      <alignment horizontal="left" vertical="top" wrapText="1"/>
      <protection locked="0"/>
    </xf>
    <xf numFmtId="2" fontId="12" fillId="0" borderId="2" xfId="1" applyNumberFormat="1" applyBorder="1" applyAlignment="1">
      <alignment horizontal="left" vertical="top" wrapText="1"/>
    </xf>
    <xf numFmtId="2" fontId="13" fillId="0" borderId="2" xfId="1" applyNumberFormat="1" applyFont="1" applyBorder="1" applyAlignment="1">
      <alignment horizontal="left"/>
    </xf>
    <xf numFmtId="2" fontId="12" fillId="0" borderId="2" xfId="1" applyNumberFormat="1" applyBorder="1" applyAlignment="1">
      <alignment horizontal="left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nl.mouser.com/ProductDetail/YAGEO/PA1206FRE470R01Z?qs=eP2BKZSCXI4yn1fb7Ph6Dg%3D%3D" TargetMode="External"/><Relationship Id="rId13" Type="http://schemas.openxmlformats.org/officeDocument/2006/relationships/hyperlink" Target="https://nl.mouser.com/ProductDetail/Maxim-Integrated/MAX5490VC10000+T?qs=nuXzIS8loXEuiMCu1GlPFw%3D%3D" TargetMode="External"/><Relationship Id="rId18" Type="http://schemas.openxmlformats.org/officeDocument/2006/relationships/hyperlink" Target="https://nl.mouser.com/ProductDetail/Semitec/103AT-2?qs=wgO0AD0o1vvcDzsKguD%252Bew%3D%3D" TargetMode="External"/><Relationship Id="rId3" Type="http://schemas.openxmlformats.org/officeDocument/2006/relationships/hyperlink" Target="https://nl.mouser.com/ProductDetail/TE-Connectivity/1747786-1?qs=wds1f20rnm0qz67bnaJ%252Bjw%3D%3D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s://nl.mouser.com/ProductDetail/Microchip-Technology-Atmel/MCP602T-I-SN?qs=TQnwojwsYvjO8LpVbD0MHw%3D%3D" TargetMode="External"/><Relationship Id="rId12" Type="http://schemas.openxmlformats.org/officeDocument/2006/relationships/hyperlink" Target="https://nl.mouser.com/ProductDetail/Maxim-Integrated/MAX5490VC10000+T?qs=nuXzIS8loXEuiMCu1GlPFw%3D%3D" TargetMode="External"/><Relationship Id="rId17" Type="http://schemas.openxmlformats.org/officeDocument/2006/relationships/hyperlink" Target="https://nl.mouser.com/ProductDetail/Keystone-Electronics/1048P?qs=9%252Bwcgl%2FJqd1h8Vx3IFpTxA%3D%3D" TargetMode="External"/><Relationship Id="rId2" Type="http://schemas.openxmlformats.org/officeDocument/2006/relationships/hyperlink" Target="https://nl.mouser.com/ProductDetail/TE-Connectivity/1747785-1?qs=wds1f20rnm3JQGfMkfdK9A%3D%3D" TargetMode="External"/><Relationship Id="rId16" Type="http://schemas.openxmlformats.org/officeDocument/2006/relationships/hyperlink" Target="https://nl.mouser.com/ProductDetail/Wurth-Elektronik/744323120?qs=VxkwJfKV0FTKuaHdv4meEw%3D%3D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nl.mouser.com/ProductDetail/Monolithic-Power-Systems-MPS/MP8771GQ-P?qs=F5EMLAvA7IAqXJOcxw0ugg%3D%3D" TargetMode="External"/><Relationship Id="rId6" Type="http://schemas.openxmlformats.org/officeDocument/2006/relationships/hyperlink" Target="https://nl.mouser.com/ProductDetail/Nexperia/BC817K-25HVL?qs=vLWxofP3U2wvMmuwDEtSXA%3D%3D" TargetMode="External"/><Relationship Id="rId11" Type="http://schemas.openxmlformats.org/officeDocument/2006/relationships/hyperlink" Target="https://nl.mouser.com/ProductDetail/onsemi-Fairchild/FUSB302B11MPX?qs=jFK2DQXLaBwFFZq6iARIyw%3D%3D" TargetMode="External"/><Relationship Id="rId5" Type="http://schemas.openxmlformats.org/officeDocument/2006/relationships/hyperlink" Target="https://nl.mouser.com/ProductDetail/Toshiba/TPC8125LQS?qs=QrGA9tEX17PL4hDY9VQr6A%3D%3D" TargetMode="External"/><Relationship Id="rId15" Type="http://schemas.openxmlformats.org/officeDocument/2006/relationships/hyperlink" Target="https://nl.mouser.com/ProductDetail/Texas-Instruments/BQ25887RGER?qs=T3oQrply3y%252BX5K0CWEHEpA%3D%3D" TargetMode="External"/><Relationship Id="rId10" Type="http://schemas.openxmlformats.org/officeDocument/2006/relationships/hyperlink" Target="https://nl.mouser.com/ProductDetail/onsemi-Fairchild/FUSB302B11MPX?qs=jFK2DQXLaBwFFZq6iARIyw%3D%3D" TargetMode="External"/><Relationship Id="rId19" Type="http://schemas.openxmlformats.org/officeDocument/2006/relationships/hyperlink" Target="https://nl.mouser.com/ProductDetail/Diodes-Incorporated/SDT15H100P5-7?qs=W0yvOO0ixfH5hR%252B8TQOTJw%3D%3D" TargetMode="External"/><Relationship Id="rId4" Type="http://schemas.openxmlformats.org/officeDocument/2006/relationships/hyperlink" Target="https://nl.mouser.com/ProductDetail/Bourns/SRP5030T-100M?qs=Zq5ylnUbLm5GUjmD8oSVdQ%3D%3D" TargetMode="External"/><Relationship Id="rId9" Type="http://schemas.openxmlformats.org/officeDocument/2006/relationships/hyperlink" Target="https://nl.mouser.com/ProductDetail/Texas-Instruments/INA219AIDR?qs=XGzIaZb%2FFYIE5YcOHTnKDA%3D%3D" TargetMode="External"/><Relationship Id="rId14" Type="http://schemas.openxmlformats.org/officeDocument/2006/relationships/hyperlink" Target="https://nl.mouser.com/ProductDetail/Wurth-Elektronik/632723100011?qs=NK6InXoXhq4o62C9ULXLjQ%3D%3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D22" zoomScaleNormal="100" workbookViewId="0">
      <selection activeCell="G38" sqref="G38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58</v>
      </c>
      <c r="C5" s="2"/>
      <c r="D5" s="25"/>
      <c r="E5" s="27"/>
    </row>
    <row r="6" spans="2:9" ht="16.75" customHeight="1" x14ac:dyDescent="0.3">
      <c r="B6" s="3" t="s">
        <v>13</v>
      </c>
    </row>
    <row r="7" spans="2:9" ht="16.75" customHeight="1" x14ac:dyDescent="0.25">
      <c r="B7" s="4"/>
    </row>
    <row r="8" spans="2:9" ht="27.4" customHeight="1" x14ac:dyDescent="0.25">
      <c r="B8" s="50" t="s">
        <v>59</v>
      </c>
      <c r="C8" s="50"/>
      <c r="D8" s="50"/>
      <c r="E8" s="50"/>
      <c r="F8" s="50"/>
      <c r="G8" s="50"/>
      <c r="H8" s="50"/>
    </row>
    <row r="9" spans="2:9" ht="27.75" customHeight="1" x14ac:dyDescent="0.25">
      <c r="B9" s="50" t="s">
        <v>60</v>
      </c>
      <c r="C9" s="50"/>
      <c r="D9" s="50"/>
      <c r="E9" s="50"/>
      <c r="F9" s="50"/>
      <c r="G9" s="50"/>
      <c r="H9" s="50"/>
      <c r="I9" s="50"/>
    </row>
    <row r="10" spans="2:9" ht="16.75" customHeight="1" x14ac:dyDescent="0.25">
      <c r="B10" s="4"/>
    </row>
    <row r="11" spans="2:9" ht="16.75" customHeight="1" x14ac:dyDescent="0.25">
      <c r="B11" s="5" t="s">
        <v>0</v>
      </c>
    </row>
    <row r="12" spans="2:9" ht="16.75" customHeight="1" x14ac:dyDescent="0.25">
      <c r="B12" s="4" t="s">
        <v>1</v>
      </c>
      <c r="D12" s="31" t="s">
        <v>83</v>
      </c>
      <c r="E12" s="30"/>
    </row>
    <row r="13" spans="2:9" ht="16.75" customHeight="1" x14ac:dyDescent="0.25">
      <c r="B13" s="4" t="s">
        <v>2</v>
      </c>
      <c r="D13" s="21">
        <f ca="1">+TODAY()</f>
        <v>44906</v>
      </c>
      <c r="E13" s="28"/>
    </row>
    <row r="14" spans="2:9" ht="16.75" customHeight="1" x14ac:dyDescent="0.25">
      <c r="B14" s="4" t="s">
        <v>3</v>
      </c>
      <c r="D14" s="20" t="s">
        <v>82</v>
      </c>
      <c r="E14" s="28"/>
    </row>
    <row r="15" spans="2:9" ht="16.75" customHeight="1" x14ac:dyDescent="0.25">
      <c r="B15" s="4" t="s">
        <v>4</v>
      </c>
      <c r="D15" s="22">
        <v>1150375</v>
      </c>
      <c r="E15" s="29"/>
      <c r="F15" s="23"/>
    </row>
    <row r="16" spans="2:9" ht="16.75" customHeight="1" x14ac:dyDescent="0.25">
      <c r="B16" s="4" t="s">
        <v>5</v>
      </c>
      <c r="D16" s="24" t="s">
        <v>81</v>
      </c>
      <c r="E16" s="29"/>
    </row>
    <row r="17" spans="1:8" ht="16.75" customHeight="1" x14ac:dyDescent="0.25">
      <c r="B17" s="4"/>
    </row>
    <row r="18" spans="1:8" ht="16.75" customHeight="1" x14ac:dyDescent="0.25">
      <c r="B18" s="5" t="s">
        <v>6</v>
      </c>
    </row>
    <row r="19" spans="1:8" ht="16.75" customHeight="1" x14ac:dyDescent="0.25">
      <c r="B19" s="5"/>
    </row>
    <row r="20" spans="1:8" ht="25.9" customHeight="1" x14ac:dyDescent="0.3">
      <c r="A20" s="26"/>
      <c r="B20" s="51" t="s">
        <v>10</v>
      </c>
      <c r="C20" s="52"/>
      <c r="D20" s="31" t="s">
        <v>61</v>
      </c>
    </row>
    <row r="21" spans="1:8" ht="16.75" customHeight="1" x14ac:dyDescent="0.25">
      <c r="B21" s="4"/>
    </row>
    <row r="22" spans="1:8" ht="16.75" customHeight="1" x14ac:dyDescent="0.25">
      <c r="B22" s="4" t="s">
        <v>7</v>
      </c>
    </row>
    <row r="23" spans="1:8" ht="16.75" customHeight="1" thickBot="1" x14ac:dyDescent="0.3">
      <c r="B23" s="4"/>
    </row>
    <row r="24" spans="1:8" ht="30" customHeight="1" thickBot="1" x14ac:dyDescent="0.3">
      <c r="B24" s="15" t="s">
        <v>8</v>
      </c>
      <c r="C24" s="16" t="s">
        <v>9</v>
      </c>
      <c r="D24" s="54" t="s">
        <v>62</v>
      </c>
      <c r="E24" s="55"/>
      <c r="F24" s="15" t="s">
        <v>63</v>
      </c>
      <c r="G24" s="15" t="s">
        <v>64</v>
      </c>
      <c r="H24" s="15" t="s">
        <v>12</v>
      </c>
    </row>
    <row r="25" spans="1:8" ht="30" customHeight="1" x14ac:dyDescent="0.25">
      <c r="B25" s="11">
        <v>1</v>
      </c>
      <c r="C25" s="17"/>
      <c r="D25" s="56" t="s">
        <v>65</v>
      </c>
      <c r="E25" s="56"/>
      <c r="F25" s="18">
        <v>4</v>
      </c>
      <c r="G25" s="19">
        <v>6.95</v>
      </c>
      <c r="H25" s="32">
        <f t="shared" ref="H25:H35" si="0">IF(F25=0,"",+F25*G25)</f>
        <v>27.8</v>
      </c>
    </row>
    <row r="26" spans="1:8" ht="12.5" customHeight="1" x14ac:dyDescent="0.25">
      <c r="B26" s="7">
        <f>+B25+1</f>
        <v>2</v>
      </c>
      <c r="C26" s="17"/>
      <c r="D26" s="53" t="s">
        <v>66</v>
      </c>
      <c r="E26" s="53"/>
      <c r="F26" s="18">
        <v>4</v>
      </c>
      <c r="G26" s="19">
        <v>5.75</v>
      </c>
      <c r="H26" s="32">
        <f t="shared" si="0"/>
        <v>23</v>
      </c>
    </row>
    <row r="27" spans="1:8" ht="12.5" customHeight="1" x14ac:dyDescent="0.25">
      <c r="B27" s="7">
        <f t="shared" ref="B27:B45" si="1">+B26+1</f>
        <v>3</v>
      </c>
      <c r="C27" s="17"/>
      <c r="D27" s="57" t="s">
        <v>67</v>
      </c>
      <c r="E27" s="57"/>
      <c r="F27" s="18">
        <v>4</v>
      </c>
      <c r="G27" s="19">
        <v>3.05</v>
      </c>
      <c r="H27" s="32">
        <f t="shared" si="0"/>
        <v>12.2</v>
      </c>
    </row>
    <row r="28" spans="1:8" ht="12.5" customHeight="1" x14ac:dyDescent="0.25">
      <c r="B28" s="7">
        <f t="shared" si="1"/>
        <v>4</v>
      </c>
      <c r="C28" s="17"/>
      <c r="D28" s="53" t="s">
        <v>68</v>
      </c>
      <c r="E28" s="53"/>
      <c r="F28" s="18">
        <v>5</v>
      </c>
      <c r="G28" s="19">
        <v>4.37</v>
      </c>
      <c r="H28" s="32">
        <f t="shared" si="0"/>
        <v>21.85</v>
      </c>
    </row>
    <row r="29" spans="1:8" ht="12.5" customHeight="1" x14ac:dyDescent="0.25">
      <c r="B29" s="7">
        <f t="shared" si="1"/>
        <v>5</v>
      </c>
      <c r="C29" s="17"/>
      <c r="D29" s="53" t="s">
        <v>69</v>
      </c>
      <c r="E29" s="53"/>
      <c r="F29" s="18">
        <v>9</v>
      </c>
      <c r="G29" s="19">
        <v>0.87</v>
      </c>
      <c r="H29" s="32">
        <f t="shared" si="0"/>
        <v>7.83</v>
      </c>
    </row>
    <row r="30" spans="1:8" x14ac:dyDescent="0.25">
      <c r="B30" s="7">
        <f t="shared" si="1"/>
        <v>6</v>
      </c>
      <c r="C30" s="17"/>
      <c r="D30" s="49" t="s">
        <v>70</v>
      </c>
      <c r="E30" s="49"/>
      <c r="F30" s="33">
        <v>4</v>
      </c>
      <c r="G30" s="34">
        <v>3.5</v>
      </c>
      <c r="H30" s="32">
        <f t="shared" si="0"/>
        <v>14</v>
      </c>
    </row>
    <row r="31" spans="1:8" x14ac:dyDescent="0.25">
      <c r="B31" s="7">
        <f t="shared" si="1"/>
        <v>7</v>
      </c>
      <c r="C31" s="17"/>
      <c r="D31" s="49" t="s">
        <v>71</v>
      </c>
      <c r="E31" s="49"/>
      <c r="F31" s="35">
        <v>4</v>
      </c>
      <c r="G31" s="34">
        <v>2.91</v>
      </c>
      <c r="H31" s="32">
        <f t="shared" si="0"/>
        <v>11.64</v>
      </c>
    </row>
    <row r="32" spans="1:8" ht="12.5" customHeight="1" x14ac:dyDescent="0.25">
      <c r="B32" s="7">
        <f t="shared" si="1"/>
        <v>8</v>
      </c>
      <c r="C32" s="17"/>
      <c r="D32" s="59" t="s">
        <v>72</v>
      </c>
      <c r="E32" s="59"/>
      <c r="F32" s="36">
        <v>4</v>
      </c>
      <c r="G32" s="34">
        <v>4.12</v>
      </c>
      <c r="H32" s="32">
        <f t="shared" si="0"/>
        <v>16.48</v>
      </c>
    </row>
    <row r="33" spans="2:8" x14ac:dyDescent="0.25">
      <c r="B33" s="7">
        <f t="shared" si="1"/>
        <v>9</v>
      </c>
      <c r="C33" s="17"/>
      <c r="D33" s="60" t="s">
        <v>73</v>
      </c>
      <c r="E33" s="60"/>
      <c r="F33" s="33">
        <v>4</v>
      </c>
      <c r="G33" s="37">
        <v>1.41</v>
      </c>
      <c r="H33" s="32">
        <f t="shared" si="0"/>
        <v>5.64</v>
      </c>
    </row>
    <row r="34" spans="2:8" x14ac:dyDescent="0.25">
      <c r="B34" s="7">
        <f t="shared" si="1"/>
        <v>10</v>
      </c>
      <c r="C34" s="17"/>
      <c r="D34" s="60" t="s">
        <v>74</v>
      </c>
      <c r="E34" s="60"/>
      <c r="F34" s="33">
        <v>4</v>
      </c>
      <c r="G34" s="34">
        <v>0.77</v>
      </c>
      <c r="H34" s="32">
        <f t="shared" si="0"/>
        <v>3.08</v>
      </c>
    </row>
    <row r="35" spans="2:8" x14ac:dyDescent="0.25">
      <c r="B35" s="7">
        <f t="shared" si="1"/>
        <v>11</v>
      </c>
      <c r="C35" s="17"/>
      <c r="D35" s="60" t="s">
        <v>75</v>
      </c>
      <c r="E35" s="60"/>
      <c r="F35" s="33">
        <v>8</v>
      </c>
      <c r="G35" s="34">
        <v>0.28999999999999998</v>
      </c>
      <c r="H35" s="32">
        <f t="shared" si="0"/>
        <v>2.3199999999999998</v>
      </c>
    </row>
    <row r="36" spans="2:8" x14ac:dyDescent="0.25">
      <c r="B36" s="7">
        <f t="shared" si="1"/>
        <v>12</v>
      </c>
      <c r="C36" s="17"/>
      <c r="D36" s="61" t="s">
        <v>76</v>
      </c>
      <c r="E36" s="61"/>
      <c r="F36" s="33">
        <v>4</v>
      </c>
      <c r="G36" s="34">
        <v>0.96</v>
      </c>
      <c r="H36" s="32">
        <f>IF(F36=0,"",+F36*G36)</f>
        <v>3.84</v>
      </c>
    </row>
    <row r="37" spans="2:8" x14ac:dyDescent="0.25">
      <c r="B37" s="7">
        <f t="shared" si="1"/>
        <v>13</v>
      </c>
      <c r="C37" s="17"/>
      <c r="D37" s="57" t="s">
        <v>77</v>
      </c>
      <c r="E37" s="57"/>
      <c r="F37" s="18">
        <v>1</v>
      </c>
      <c r="G37" s="19">
        <v>0.75</v>
      </c>
      <c r="H37" s="13">
        <f>IF(F37=0,"",+F37*G37)</f>
        <v>0.75</v>
      </c>
    </row>
    <row r="38" spans="2:8" ht="12.5" customHeight="1" x14ac:dyDescent="0.25">
      <c r="B38" s="7">
        <f t="shared" si="1"/>
        <v>14</v>
      </c>
      <c r="C38" s="17"/>
      <c r="D38" s="58"/>
      <c r="E38" s="58"/>
      <c r="F38" s="39"/>
      <c r="G38" s="38"/>
      <c r="H38" s="13" t="str">
        <f t="shared" ref="H38:H45" si="2">IF(F38=0,"",+F38*G38)</f>
        <v/>
      </c>
    </row>
    <row r="39" spans="2:8" x14ac:dyDescent="0.25">
      <c r="B39" s="7">
        <f t="shared" si="1"/>
        <v>15</v>
      </c>
      <c r="C39" s="17"/>
      <c r="D39" s="45" t="s">
        <v>78</v>
      </c>
      <c r="E39" s="45"/>
      <c r="F39" s="40">
        <v>2</v>
      </c>
      <c r="G39" s="40">
        <v>0.57999999999999996</v>
      </c>
      <c r="H39" s="13">
        <f t="shared" si="2"/>
        <v>1.1599999999999999</v>
      </c>
    </row>
    <row r="40" spans="2:8" ht="16.75" customHeight="1" x14ac:dyDescent="0.25">
      <c r="B40" s="7">
        <f t="shared" si="1"/>
        <v>16</v>
      </c>
      <c r="C40" s="17"/>
      <c r="D40" s="46" t="s">
        <v>79</v>
      </c>
      <c r="E40" s="46"/>
      <c r="F40" s="44">
        <v>2</v>
      </c>
      <c r="G40" s="41">
        <v>2.62</v>
      </c>
      <c r="H40" s="13">
        <f t="shared" si="2"/>
        <v>5.24</v>
      </c>
    </row>
    <row r="41" spans="2:8" ht="16.75" customHeight="1" x14ac:dyDescent="0.25">
      <c r="B41" s="7">
        <f t="shared" si="1"/>
        <v>17</v>
      </c>
      <c r="C41" s="17"/>
      <c r="D41" s="45" t="s">
        <v>80</v>
      </c>
      <c r="E41" s="45"/>
      <c r="F41" s="40">
        <v>1</v>
      </c>
      <c r="G41" s="40">
        <v>1.75</v>
      </c>
      <c r="H41" s="13">
        <f>IF(F41=0,"",+F41*G41)</f>
        <v>1.75</v>
      </c>
    </row>
    <row r="42" spans="2:8" ht="16.75" customHeight="1" x14ac:dyDescent="0.25">
      <c r="B42" s="7">
        <f t="shared" si="1"/>
        <v>18</v>
      </c>
      <c r="C42" s="17"/>
      <c r="D42" s="45" t="s">
        <v>84</v>
      </c>
      <c r="E42" s="45"/>
      <c r="F42" s="40">
        <v>1</v>
      </c>
      <c r="G42" s="40">
        <v>4.78</v>
      </c>
      <c r="H42" s="13">
        <f>IF(F42=0,"",+F42*G42)</f>
        <v>4.78</v>
      </c>
    </row>
    <row r="43" spans="2:8" ht="16.75" customHeight="1" x14ac:dyDescent="0.25">
      <c r="B43" s="7">
        <f t="shared" si="1"/>
        <v>19</v>
      </c>
      <c r="C43" s="17"/>
      <c r="D43" s="45"/>
      <c r="E43" s="45"/>
      <c r="F43" s="40"/>
      <c r="G43" s="40"/>
      <c r="H43" s="13" t="str">
        <f t="shared" si="2"/>
        <v/>
      </c>
    </row>
    <row r="44" spans="2:8" x14ac:dyDescent="0.25">
      <c r="B44" s="7">
        <f t="shared" si="1"/>
        <v>20</v>
      </c>
      <c r="C44" s="17"/>
      <c r="D44" s="45"/>
      <c r="E44" s="45"/>
      <c r="F44" s="40"/>
      <c r="G44" s="40"/>
      <c r="H44" s="13" t="str">
        <f t="shared" si="2"/>
        <v/>
      </c>
    </row>
    <row r="45" spans="2:8" ht="16.75" customHeight="1" x14ac:dyDescent="0.25">
      <c r="B45" s="7">
        <f t="shared" si="1"/>
        <v>21</v>
      </c>
      <c r="C45" s="17"/>
      <c r="D45" s="47"/>
      <c r="E45" s="47"/>
      <c r="F45" s="42"/>
      <c r="G45" s="42"/>
      <c r="H45" s="13" t="str">
        <f t="shared" si="2"/>
        <v/>
      </c>
    </row>
    <row r="46" spans="2:8" ht="16.75" customHeight="1" thickBot="1" x14ac:dyDescent="0.3">
      <c r="B46" s="43"/>
      <c r="C46" s="8"/>
      <c r="D46" s="48"/>
      <c r="E46" s="48"/>
      <c r="F46" s="12"/>
      <c r="G46" s="9" t="s">
        <v>11</v>
      </c>
      <c r="H46" s="14">
        <f>+SUM(H25:H44)</f>
        <v>163.35999999999999</v>
      </c>
    </row>
    <row r="47" spans="2:8" ht="16.75" customHeight="1" x14ac:dyDescent="0.25">
      <c r="B47" s="4"/>
    </row>
    <row r="48" spans="2:8" ht="16.75" customHeight="1" x14ac:dyDescent="0.25">
      <c r="B48" s="4"/>
    </row>
    <row r="49" spans="2:5" ht="16.75" customHeight="1" x14ac:dyDescent="0.25"/>
    <row r="50" spans="2:5" ht="16.75" customHeight="1" x14ac:dyDescent="0.25">
      <c r="B50" s="6"/>
    </row>
    <row r="51" spans="2:5" ht="16.75" customHeight="1" x14ac:dyDescent="0.25"/>
    <row r="52" spans="2:5" ht="16.75" customHeight="1" x14ac:dyDescent="0.25">
      <c r="D52" s="10"/>
      <c r="E52" s="10"/>
    </row>
    <row r="53" spans="2:5" ht="16.75" customHeight="1" x14ac:dyDescent="0.25"/>
    <row r="54" spans="2:5" ht="16.75" customHeight="1" x14ac:dyDescent="0.25"/>
    <row r="55" spans="2:5" ht="16.75" customHeight="1" x14ac:dyDescent="0.25"/>
    <row r="56" spans="2:5" ht="16.75" customHeight="1" x14ac:dyDescent="0.25"/>
    <row r="57" spans="2:5" ht="16.75" customHeight="1" x14ac:dyDescent="0.25"/>
    <row r="58" spans="2:5" ht="16.75" customHeight="1" x14ac:dyDescent="0.25"/>
    <row r="59" spans="2:5" ht="16.75" customHeight="1" x14ac:dyDescent="0.25"/>
    <row r="60" spans="2:5" ht="16.75" hidden="1" customHeight="1" x14ac:dyDescent="0.25"/>
    <row r="61" spans="2:5" ht="16.75" hidden="1" customHeight="1" x14ac:dyDescent="0.25"/>
    <row r="62" spans="2:5" ht="16.75" hidden="1" customHeight="1" x14ac:dyDescent="0.25"/>
    <row r="63" spans="2:5" ht="16.75" hidden="1" customHeight="1" x14ac:dyDescent="0.25"/>
    <row r="64" spans="2:5" ht="16.75" hidden="1" customHeight="1" x14ac:dyDescent="0.25"/>
    <row r="65" spans="2:3" ht="16.75" hidden="1" customHeight="1" x14ac:dyDescent="0.25">
      <c r="B65" t="s">
        <v>14</v>
      </c>
      <c r="C65" t="s">
        <v>15</v>
      </c>
    </row>
    <row r="66" spans="2:3" ht="16.75" hidden="1" customHeight="1" x14ac:dyDescent="0.25">
      <c r="B66" t="s">
        <v>16</v>
      </c>
    </row>
    <row r="67" spans="2:3" ht="16.75" hidden="1" customHeight="1" x14ac:dyDescent="0.25">
      <c r="B67" t="s">
        <v>17</v>
      </c>
    </row>
    <row r="68" spans="2:3" ht="16.75" hidden="1" customHeight="1" x14ac:dyDescent="0.25">
      <c r="B68" t="s">
        <v>18</v>
      </c>
    </row>
    <row r="69" spans="2:3" ht="16.75" hidden="1" customHeight="1" x14ac:dyDescent="0.25">
      <c r="B69" t="s">
        <v>19</v>
      </c>
    </row>
    <row r="70" spans="2:3" hidden="1" x14ac:dyDescent="0.25">
      <c r="B70" t="s">
        <v>20</v>
      </c>
    </row>
    <row r="71" spans="2:3" hidden="1" x14ac:dyDescent="0.25">
      <c r="B71" t="s">
        <v>21</v>
      </c>
    </row>
    <row r="72" spans="2:3" hidden="1" x14ac:dyDescent="0.25">
      <c r="B72" t="s">
        <v>22</v>
      </c>
    </row>
    <row r="73" spans="2:3" hidden="1" x14ac:dyDescent="0.25">
      <c r="B73" t="s">
        <v>23</v>
      </c>
    </row>
    <row r="74" spans="2:3" hidden="1" x14ac:dyDescent="0.25">
      <c r="B74" t="s">
        <v>24</v>
      </c>
    </row>
    <row r="75" spans="2:3" hidden="1" x14ac:dyDescent="0.25">
      <c r="B75" t="s">
        <v>25</v>
      </c>
    </row>
    <row r="76" spans="2:3" hidden="1" x14ac:dyDescent="0.25">
      <c r="B76" t="s">
        <v>26</v>
      </c>
    </row>
    <row r="77" spans="2:3" hidden="1" x14ac:dyDescent="0.25">
      <c r="B77" t="s">
        <v>27</v>
      </c>
    </row>
    <row r="78" spans="2:3" hidden="1" x14ac:dyDescent="0.25">
      <c r="B78" t="s">
        <v>28</v>
      </c>
    </row>
    <row r="79" spans="2:3" hidden="1" x14ac:dyDescent="0.25">
      <c r="B79" t="s">
        <v>29</v>
      </c>
    </row>
    <row r="80" spans="2:3" hidden="1" x14ac:dyDescent="0.25">
      <c r="B80" t="s">
        <v>30</v>
      </c>
    </row>
    <row r="81" spans="2:2" hidden="1" x14ac:dyDescent="0.25">
      <c r="B81" t="s">
        <v>31</v>
      </c>
    </row>
    <row r="82" spans="2:2" hidden="1" x14ac:dyDescent="0.25">
      <c r="B82" t="s">
        <v>32</v>
      </c>
    </row>
    <row r="83" spans="2:2" hidden="1" x14ac:dyDescent="0.25">
      <c r="B83" t="s">
        <v>33</v>
      </c>
    </row>
    <row r="84" spans="2:2" hidden="1" x14ac:dyDescent="0.25">
      <c r="B84" t="s">
        <v>34</v>
      </c>
    </row>
    <row r="85" spans="2:2" hidden="1" x14ac:dyDescent="0.25">
      <c r="B85" t="s">
        <v>35</v>
      </c>
    </row>
    <row r="86" spans="2:2" hidden="1" x14ac:dyDescent="0.25">
      <c r="B86" t="s">
        <v>36</v>
      </c>
    </row>
    <row r="87" spans="2:2" hidden="1" x14ac:dyDescent="0.25">
      <c r="B87" t="s">
        <v>37</v>
      </c>
    </row>
    <row r="88" spans="2:2" hidden="1" x14ac:dyDescent="0.25">
      <c r="B88" t="s">
        <v>38</v>
      </c>
    </row>
    <row r="89" spans="2:2" hidden="1" x14ac:dyDescent="0.25">
      <c r="B89" t="s">
        <v>39</v>
      </c>
    </row>
    <row r="90" spans="2:2" hidden="1" x14ac:dyDescent="0.25">
      <c r="B90" t="s">
        <v>40</v>
      </c>
    </row>
    <row r="91" spans="2:2" hidden="1" x14ac:dyDescent="0.25">
      <c r="B91" t="s">
        <v>41</v>
      </c>
    </row>
    <row r="92" spans="2:2" hidden="1" x14ac:dyDescent="0.25">
      <c r="B92" t="s">
        <v>42</v>
      </c>
    </row>
    <row r="93" spans="2:2" hidden="1" x14ac:dyDescent="0.25">
      <c r="B93" t="s">
        <v>43</v>
      </c>
    </row>
    <row r="94" spans="2:2" hidden="1" x14ac:dyDescent="0.25">
      <c r="B94" t="s">
        <v>44</v>
      </c>
    </row>
    <row r="95" spans="2:2" hidden="1" x14ac:dyDescent="0.25">
      <c r="B95" t="s">
        <v>45</v>
      </c>
    </row>
    <row r="96" spans="2:2" hidden="1" x14ac:dyDescent="0.25">
      <c r="B96" t="s">
        <v>46</v>
      </c>
    </row>
    <row r="97" spans="2:6" hidden="1" x14ac:dyDescent="0.25">
      <c r="B97" t="s">
        <v>47</v>
      </c>
    </row>
    <row r="98" spans="2:6" hidden="1" x14ac:dyDescent="0.25">
      <c r="B98" t="s">
        <v>48</v>
      </c>
    </row>
    <row r="99" spans="2:6" hidden="1" x14ac:dyDescent="0.25">
      <c r="B99" t="s">
        <v>49</v>
      </c>
    </row>
    <row r="100" spans="2:6" hidden="1" x14ac:dyDescent="0.25">
      <c r="B100" t="s">
        <v>50</v>
      </c>
    </row>
    <row r="101" spans="2:6" hidden="1" x14ac:dyDescent="0.25">
      <c r="B101" t="s">
        <v>51</v>
      </c>
    </row>
    <row r="102" spans="2:6" hidden="1" x14ac:dyDescent="0.25">
      <c r="B102" t="s">
        <v>52</v>
      </c>
    </row>
    <row r="103" spans="2:6" hidden="1" x14ac:dyDescent="0.25">
      <c r="B103" t="s">
        <v>53</v>
      </c>
    </row>
    <row r="104" spans="2:6" hidden="1" x14ac:dyDescent="0.25">
      <c r="B104" t="s">
        <v>54</v>
      </c>
    </row>
    <row r="105" spans="2:6" hidden="1" x14ac:dyDescent="0.25">
      <c r="B105" t="s">
        <v>55</v>
      </c>
    </row>
    <row r="106" spans="2:6" hidden="1" x14ac:dyDescent="0.25">
      <c r="B106" t="s">
        <v>56</v>
      </c>
    </row>
    <row r="107" spans="2:6" hidden="1" x14ac:dyDescent="0.25">
      <c r="B107" t="s">
        <v>57</v>
      </c>
    </row>
    <row r="108" spans="2:6" hidden="1" x14ac:dyDescent="0.25">
      <c r="F108" t="str">
        <f>+B108&amp;" "&amp;C108</f>
        <v xml:space="preserve"> </v>
      </c>
    </row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ort="0"/>
  <mergeCells count="26">
    <mergeCell ref="D32:E32"/>
    <mergeCell ref="D33:E33"/>
    <mergeCell ref="D34:E34"/>
    <mergeCell ref="D35:E35"/>
    <mergeCell ref="D36:E36"/>
    <mergeCell ref="D44:E44"/>
    <mergeCell ref="D45:E45"/>
    <mergeCell ref="D46:E46"/>
    <mergeCell ref="D31:E31"/>
    <mergeCell ref="B8:H8"/>
    <mergeCell ref="B9:I9"/>
    <mergeCell ref="B20:C20"/>
    <mergeCell ref="D26:E26"/>
    <mergeCell ref="D24:E24"/>
    <mergeCell ref="D28:E28"/>
    <mergeCell ref="D25:E25"/>
    <mergeCell ref="D27:E27"/>
    <mergeCell ref="D30:E30"/>
    <mergeCell ref="D29:E29"/>
    <mergeCell ref="D37:E37"/>
    <mergeCell ref="D38:E38"/>
    <mergeCell ref="D39:E39"/>
    <mergeCell ref="D40:E40"/>
    <mergeCell ref="D41:E41"/>
    <mergeCell ref="D42:E42"/>
    <mergeCell ref="D43:E43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$B$66:$B$107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7" r:id="rId1" display="https://nl.mouser.com/ProductDetail/Monolithic-Power-Systems-MPS/MP8771GQ-P?qs=F5EMLAvA7IAqXJOcxw0ugg%3D%3D" xr:uid="{C8E0968F-0CC9-4CD5-90EC-FD12211A4240}"/>
    <hyperlink ref="D30" r:id="rId2" xr:uid="{139566FC-592C-421B-8D15-BF4F8234D616}"/>
    <hyperlink ref="D31" r:id="rId3" xr:uid="{A09076E5-0867-4C3A-B009-3964620BE8B4}"/>
    <hyperlink ref="D33" r:id="rId4" display="https://nl.mouser.com/ProductDetail/Bourns/SRP5030T-100M?qs=Zq5ylnUbLm5GUjmD8oSVdQ%3D%3D" xr:uid="{8EC17C4D-0DDC-495C-9944-291C1ED5F008}"/>
    <hyperlink ref="D34" r:id="rId5" display="https://nl.mouser.com/ProductDetail/Toshiba/TPC8125LQS?qs=QrGA9tEX17PL4hDY9VQr6A%3D%3D" xr:uid="{2D6DB13F-D553-4F1C-B5BA-7568D8F51E24}"/>
    <hyperlink ref="D35" r:id="rId6" display="https://nl.mouser.com/ProductDetail/Nexperia/BC817K-25HVL?qs=vLWxofP3U2wvMmuwDEtSXA%3D%3D" xr:uid="{8FEE8E0C-35A6-4072-AD54-75A08CBBAE3E}"/>
    <hyperlink ref="D37" r:id="rId7" display="https://nl.mouser.com/ProductDetail/Microchip-Technology-Atmel/MCP602T-I-SN?qs=TQnwojwsYvjO8LpVbD0MHw%3D%3D" xr:uid="{FBDF8C80-BB02-41C0-AE23-69F394EF23DF}"/>
    <hyperlink ref="D39" r:id="rId8" xr:uid="{39643DBC-C332-4B9E-9A03-D6CAF72B6257}"/>
    <hyperlink ref="D40" r:id="rId9" xr:uid="{8F7FF44E-BF87-4681-B48A-F10ADE2F1F89}"/>
    <hyperlink ref="D41" r:id="rId10" display="https://nl.mouser.com/ProductDetail/onsemi-Fairchild/FUSB302B11MPX?qs=jFK2DQXLaBwFFZq6iARIyw%3D%3D" xr:uid="{8DB01034-93D1-4417-962B-B825550E818B}"/>
    <hyperlink ref="D41:E41" r:id="rId11" display="USB-C trigger module" xr:uid="{656F9638-FBE2-442C-A565-05E578DB7F79}"/>
    <hyperlink ref="D42" r:id="rId12" display="https://nl.mouser.com/ProductDetail/Maxim-Integrated/MAX5490VC10000+T?qs=nuXzIS8loXEuiMCu1GlPFw%3D%3D" xr:uid="{57653ED2-CC74-4C95-BF01-A4FA4D3FBDEB}"/>
    <hyperlink ref="D42:E42" r:id="rId13" display="Resistor Networks &amp; Arrays 100kOHM Precision-Matched Resistor-Divider in SOT23" xr:uid="{59BF0ED6-13C4-45F4-8AB2-19C79A806CB5}"/>
    <hyperlink ref="D28:E28" r:id="rId14" display="USB Connectors WR-COM USB3.1 Type C SuperSpeed+ Rcpt" xr:uid="{66E00D93-D606-4E8D-8DD3-A7AE343B6D02}"/>
    <hyperlink ref="D26:E26" r:id="rId15" display="Batterijbeheer I2C 2 cell 2A Boost battery charger for USB input and integrated cell balancing 24-VQFN -40 to 85" xr:uid="{65ECBF51-2613-44D3-AE61-668E7DE135A3}"/>
    <hyperlink ref="D32:E32" r:id="rId16" display="Power Inductors - SMD WE-HCI 1.2uH 12A" xr:uid="{00F62159-AFBA-4421-B7E0-2F7FFB5102A3}"/>
    <hyperlink ref="D25:E25" r:id="rId17" display="Cilindrische accuklemmen, -clips, -houders en -veren SMT Polarized Holder Dual 18650 Batterie" xr:uid="{705A6DB9-1EC5-4796-8E3F-630476FC42DB}"/>
    <hyperlink ref="D36:E36" r:id="rId18" display="NTC (Negative Temperature Coefficient) Thermistors 10kohm 1%" xr:uid="{C6AED789-209B-4F90-ACA1-31BE8D5B8A10}"/>
    <hyperlink ref="D29:E29" r:id="rId19" display="15A TRENCH SCHOTTKY BARRIER RECTIFIER" xr:uid="{184006DA-6AF8-4F27-B888-E62529720961}"/>
  </hyperlinks>
  <pageMargins left="0" right="0" top="0.51181102362204722" bottom="7.874015748031496E-2" header="0.51181102362204722" footer="7.874015748031496E-2"/>
  <pageSetup paperSize="9" orientation="portrait" r:id="rId20"/>
  <headerFooter alignWithMargins="0">
    <oddFooter>&amp;L&amp;"Lucida Sans Unicode,Standaard"&amp;6JHE18 - 20110621&amp;R&amp;"Lucida Sans Unicode,Standaard"&amp;7&amp;P/&amp;N</oddFooter>
  </headerFooter>
  <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2022-12-11T19:51:06Z</dcterms:modified>
</cp:coreProperties>
</file>